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drawings/drawing5.xml" ContentType="application/vnd.openxmlformats-officedocument.drawing+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6.xml" ContentType="application/vnd.openxmlformats-officedocument.drawingml.chartshap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D:\Data Analyst\PROJECTS\EXCEL_PROJECT\HealthCare\"/>
    </mc:Choice>
  </mc:AlternateContent>
  <xr:revisionPtr revIDLastSave="0" documentId="13_ncr:1_{6F8B1945-45FD-4FBD-955C-55C0C791892E}" xr6:coauthVersionLast="47" xr6:coauthVersionMax="47" xr10:uidLastSave="{00000000-0000-0000-0000-000000000000}"/>
  <bookViews>
    <workbookView xWindow="-108" yWindow="-108" windowWidth="23256" windowHeight="12456" activeTab="3" xr2:uid="{3E8B4CC6-F359-43E8-8977-E644BE58C3D9}"/>
  </bookViews>
  <sheets>
    <sheet name="Pivot Report" sheetId="1" r:id="rId1"/>
    <sheet name="Average of patient waitTime" sheetId="5" r:id="rId2"/>
    <sheet name="Daily ER no. of patients" sheetId="4" r:id="rId3"/>
    <sheet name="Dashboard" sheetId="3" r:id="rId4"/>
    <sheet name="Satisfaction Score Daily Trend" sheetId="6" r:id="rId5"/>
  </sheets>
  <definedNames>
    <definedName name="Slicer_Date__Month">#N/A</definedName>
    <definedName name="Slicer_Date__Year">#N/A</definedName>
  </definedNames>
  <calcPr calcId="191029"/>
  <pivotCaches>
    <pivotCache cacheId="498" r:id="rId6"/>
    <pivotCache cacheId="501" r:id="rId7"/>
    <pivotCache cacheId="504" r:id="rId8"/>
    <pivotCache cacheId="507" r:id="rId9"/>
    <pivotCache cacheId="510" r:id="rId10"/>
    <pivotCache cacheId="513" r:id="rId11"/>
    <pivotCache cacheId="516" r:id="rId12"/>
    <pivotCache cacheId="519" r:id="rId13"/>
    <pivotCache cacheId="522" r:id="rId14"/>
    <pivotCache cacheId="525" r:id="rId15"/>
    <pivotCache cacheId="528" r:id="rId16"/>
    <pivotCache cacheId="531" r:id="rId17"/>
  </pivotCaches>
  <extLst>
    <ext xmlns:x14="http://schemas.microsoft.com/office/spreadsheetml/2009/9/main" uri="{876F7934-8845-4945-9796-88D515C7AA90}">
      <x14:pivotCaches>
        <pivotCache cacheId="12" r:id="rId18"/>
      </x14:pivotCaches>
    </ex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59f9302e-55d1-4fdb-8b17-a75cdeae03a1" name="Hospital Emergency Room Data" connection="Query - Hospital Emergency Room Data"/>
          <x15:modelTable id="Calendar_Table_d4e7d3ff-8a81-4362-98d3-6b70f3e9f0d7" name="Calendar_Table" connection="Query - Calendar_Table"/>
        </x15:modelTables>
        <x15:modelRelationships>
          <x15:modelRelationship fromTable="Hospital Emergency Room Data" fromColumn="Patient Admission Date" toTable="Calendar_Table" toColumn="Date"/>
        </x15:modelRelationships>
        <x15:extLst>
          <ext xmlns:x16="http://schemas.microsoft.com/office/spreadsheetml/2014/11/main" uri="{9835A34E-60A6-4A7C-AAB8-D5F71C897F49}">
            <x16:modelTimeGroupings>
              <x16:modelTimeGrouping tableName="Calenda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50" i="1" l="1"/>
  <c r="C50" i="1"/>
  <c r="B49" i="1"/>
  <c r="C49" i="1"/>
  <c r="A50" i="1"/>
  <c r="A49"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86245F5-1DAC-4626-A9CE-F2184BF95743}" name="Query - Calendar_Table" description="Connection to the 'Calendar_Table' query in the workbook." type="100" refreshedVersion="7" minRefreshableVersion="5">
    <extLst>
      <ext xmlns:x15="http://schemas.microsoft.com/office/spreadsheetml/2010/11/main" uri="{DE250136-89BD-433C-8126-D09CA5730AF9}">
        <x15:connection id="43424d0b-1e99-42c4-a783-9a83b31dd946"/>
      </ext>
    </extLst>
  </connection>
  <connection id="2" xr16:uid="{DDBA3B48-971E-4674-8CBE-C252CC01BB65}" name="Query - Hospital Emergency Room Data" description="Connection to the 'Hospital Emergency Room Data' query in the workbook." type="100" refreshedVersion="7" minRefreshableVersion="5">
    <extLst>
      <ext xmlns:x15="http://schemas.microsoft.com/office/spreadsheetml/2010/11/main" uri="{DE250136-89BD-433C-8126-D09CA5730AF9}">
        <x15:connection id="7b6f772e-a63c-477b-a0ae-7ab12ef2b00e"/>
      </ext>
    </extLst>
  </connection>
  <connection id="3" xr16:uid="{AD404553-2163-46D8-828C-2930CEE0D1E6}"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<sst xmlns="http://schemas.openxmlformats.org/spreadsheetml/2006/main" count="156" uniqueCount="75">
  <si>
    <t>Distinct Count of Patient Id</t>
  </si>
  <si>
    <t>No. of Patients</t>
  </si>
  <si>
    <t>Average of Patient Waittime</t>
  </si>
  <si>
    <t>Average of Patient Satisfaction Score</t>
  </si>
  <si>
    <t>Grand Total</t>
  </si>
  <si>
    <t>Row Labels</t>
  </si>
  <si>
    <t>daily trends of no. of patients</t>
  </si>
  <si>
    <t>Average of patient wait time</t>
  </si>
  <si>
    <t>Average of patient satisfaction score</t>
  </si>
  <si>
    <t>Admission Status</t>
  </si>
  <si>
    <t>Admitted</t>
  </si>
  <si>
    <t>Not Admitted</t>
  </si>
  <si>
    <t>Count of Patient Admission Flag</t>
  </si>
  <si>
    <t>Count of Patient Admission Flag2</t>
  </si>
  <si>
    <t>No. of Patient</t>
  </si>
  <si>
    <t>% Status</t>
  </si>
  <si>
    <t>1-Apr</t>
  </si>
  <si>
    <t>2-Apr</t>
  </si>
  <si>
    <t>3-Apr</t>
  </si>
  <si>
    <t>4-Apr</t>
  </si>
  <si>
    <t>5-Apr</t>
  </si>
  <si>
    <t>6-Apr</t>
  </si>
  <si>
    <t>7-Apr</t>
  </si>
  <si>
    <t>8-Apr</t>
  </si>
  <si>
    <t>9-Apr</t>
  </si>
  <si>
    <t>10-Apr</t>
  </si>
  <si>
    <t>11-Apr</t>
  </si>
  <si>
    <t>12-Apr</t>
  </si>
  <si>
    <t>13-Apr</t>
  </si>
  <si>
    <t>14-Apr</t>
  </si>
  <si>
    <t>15-Apr</t>
  </si>
  <si>
    <t>16-Apr</t>
  </si>
  <si>
    <t>17-Apr</t>
  </si>
  <si>
    <t>18-Apr</t>
  </si>
  <si>
    <t>19-Apr</t>
  </si>
  <si>
    <t>20-Apr</t>
  </si>
  <si>
    <t>21-Apr</t>
  </si>
  <si>
    <t>22-Apr</t>
  </si>
  <si>
    <t>23-Apr</t>
  </si>
  <si>
    <t>24-Apr</t>
  </si>
  <si>
    <t>25-Apr</t>
  </si>
  <si>
    <t>26-Apr</t>
  </si>
  <si>
    <t>27-Apr</t>
  </si>
  <si>
    <t>28-Apr</t>
  </si>
  <si>
    <t>29-Apr</t>
  </si>
  <si>
    <t>30-Apr</t>
  </si>
  <si>
    <t>Age Group Count</t>
  </si>
  <si>
    <t>Count of Age Group</t>
  </si>
  <si>
    <t>0-9</t>
  </si>
  <si>
    <t>10 -19</t>
  </si>
  <si>
    <t>20 -29</t>
  </si>
  <si>
    <t>30 -39</t>
  </si>
  <si>
    <t>40 -49</t>
  </si>
  <si>
    <t>50 -59</t>
  </si>
  <si>
    <t>60 -69</t>
  </si>
  <si>
    <t>70 -79</t>
  </si>
  <si>
    <t>Delay</t>
  </si>
  <si>
    <t>Ontime</t>
  </si>
  <si>
    <t>Male</t>
  </si>
  <si>
    <t>None</t>
  </si>
  <si>
    <t>Female</t>
  </si>
  <si>
    <t>Count of Patient Attend Status</t>
  </si>
  <si>
    <t>No. of Patient by Gender</t>
  </si>
  <si>
    <t>Count of Patient Gender</t>
  </si>
  <si>
    <t>Cardiology</t>
  </si>
  <si>
    <t>Gastroenterology</t>
  </si>
  <si>
    <t>General Practice</t>
  </si>
  <si>
    <t>Neurology</t>
  </si>
  <si>
    <t>Orthopedics</t>
  </si>
  <si>
    <t>Physiotherapy</t>
  </si>
  <si>
    <t>Renal</t>
  </si>
  <si>
    <t>Count of Department Referral</t>
  </si>
  <si>
    <t>2024</t>
  </si>
  <si>
    <t>Qtr2</t>
  </si>
  <si>
    <t>Apr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</si>
</sst>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x14ac:knownFonts="1">
    <font>
      <sz val="11"/>
      <color theme="1"/>
      <name val="Calibri"/>
      <family val="2"/>
      <scheme val="minor"/>
    </font>
    <font>
      <sz val="11"/>
      <color theme="1"/>
      <name val="Calibri"/>
      <family val="2"/>
      <scheme val="minor"/>
    </font>
    <font>
      <b/>
      <sz val="11"/>
      <color theme="1"/>
      <name val="Calibri"/>
      <family val="2"/>
      <scheme val="minor"/>
    </font>
    <font>
      <sz val="11"/>
      <color theme="0"/>
      <name val="Calibri"/>
      <family val="2"/>
      <scheme val="minor"/>
    </font>
  </fonts>
  <fills count="6">
    <fill>
      <patternFill patternType="none"/>
    </fill>
    <fill>
      <patternFill patternType="gray125"/>
    </fill>
    <fill>
      <patternFill patternType="solid">
        <fgColor theme="1" tint="0.34998626667073579"/>
        <bgColor indexed="64"/>
      </patternFill>
    </fill>
    <fill>
      <patternFill patternType="solid">
        <fgColor theme="0" tint="-0.249977111117893"/>
        <bgColor indexed="64"/>
      </patternFill>
    </fill>
    <fill>
      <patternFill patternType="solid">
        <fgColor theme="4"/>
        <bgColor indexed="64"/>
      </patternFill>
    </fill>
    <fill>
      <patternFill patternType="solid">
        <fgColor theme="4" tint="0.79998168889431442"/>
        <bgColor theme="4" tint="0.79998168889431442"/>
      </patternFill>
    </fill>
  </fills>
  <borders count="2">
    <border>
      <left/>
      <right/>
      <top/>
      <bottom/>
      <diagonal/>
    </border>
    <border>
      <left/>
      <right/>
      <top/>
      <bottom style="thin">
        <color theme="4" tint="0.39997558519241921"/>
      </bottom>
      <diagonal/>
    </border>
  </borders>
  <cellStyleXfs count="2">
    <xf numFmtId="0" fontId="0" fillId="0" borderId="0"/>
    <xf numFmtId="9" fontId="1" fillId="0" borderId="0" applyFont="0" applyFill="0" applyBorder="0" applyAlignment="0" applyProtection="0"/>
  </cellStyleXfs>
  <cellXfs count="18">
    <xf numFmtId="0" fontId="0" fillId="0" borderId="0" xfId="0"/>
    <xf numFmtId="0" fontId="0" fillId="0" borderId="0" xfId="0" applyNumberFormat="1"/>
    <xf numFmtId="2" fontId="0" fillId="0" borderId="0" xfId="0" applyNumberFormat="1"/>
    <xf numFmtId="0" fontId="0" fillId="2" borderId="0" xfId="0" applyFill="1"/>
    <xf numFmtId="0" fontId="0" fillId="0" borderId="0" xfId="0" pivotButton="1"/>
    <xf numFmtId="0" fontId="0" fillId="0" borderId="0" xfId="0" applyAlignment="1">
      <alignment horizontal="left"/>
    </xf>
    <xf numFmtId="0" fontId="0" fillId="3" borderId="0" xfId="0" applyFill="1"/>
    <xf numFmtId="10" fontId="0" fillId="0" borderId="0" xfId="0" applyNumberFormat="1"/>
    <xf numFmtId="9" fontId="0" fillId="0" borderId="0" xfId="0" applyNumberFormat="1"/>
    <xf numFmtId="0" fontId="0" fillId="4" borderId="0" xfId="0" applyFill="1"/>
    <xf numFmtId="0" fontId="2" fillId="0" borderId="0" xfId="0" applyFont="1"/>
    <xf numFmtId="0" fontId="2" fillId="0" borderId="0" xfId="0" applyFont="1" applyAlignment="1">
      <alignment horizontal="center"/>
    </xf>
    <xf numFmtId="0" fontId="2" fillId="0" borderId="0" xfId="0" applyFont="1" applyAlignment="1"/>
    <xf numFmtId="9" fontId="2" fillId="0" borderId="0" xfId="1" applyFont="1" applyAlignment="1"/>
    <xf numFmtId="0" fontId="3" fillId="4" borderId="0" xfId="0" applyFont="1" applyFill="1" applyAlignment="1">
      <alignment horizontal="center"/>
    </xf>
    <xf numFmtId="0" fontId="2" fillId="5" borderId="1" xfId="0" applyFont="1" applyFill="1" applyBorder="1"/>
    <xf numFmtId="0" fontId="0" fillId="0" borderId="0" xfId="0" applyAlignment="1">
      <alignment horizontal="left" indent="1"/>
    </xf>
    <xf numFmtId="0" fontId="0" fillId="0" borderId="0" xfId="0" applyAlignment="1">
      <alignment horizontal="left" indent="2"/>
    </xf>
  </cellXfs>
  <cellStyles count="2">
    <cellStyle name="Normal" xfId="0" builtinId="0"/>
    <cellStyle name="Percent" xfId="1" builtinId="5"/>
  </cellStyles>
  <dxfs count="77">
    <dxf>
      <numFmt numFmtId="13" formatCode="0%"/>
    </dxf>
    <dxf>
      <numFmt numFmtId="2" formatCode="0.00"/>
    </dxf>
    <dxf>
      <numFmt numFmtId="2" formatCode="0.00"/>
    </dxf>
    <dxf>
      <numFmt numFmtId="2" formatCode="0.00"/>
    </dxf>
    <dxf>
      <numFmt numFmtId="2" formatCode="0.00"/>
    </dxf>
    <dxf>
      <numFmt numFmtId="13" formatCode="0%"/>
    </dxf>
    <dxf>
      <numFmt numFmtId="2" formatCode="0.00"/>
    </dxf>
    <dxf>
      <numFmt numFmtId="2" formatCode="0.00"/>
    </dxf>
    <dxf>
      <numFmt numFmtId="2" formatCode="0.00"/>
    </dxf>
    <dxf>
      <numFmt numFmtId="2" formatCode="0.00"/>
    </dxf>
    <dxf>
      <numFmt numFmtId="13" formatCode="0%"/>
    </dxf>
    <dxf>
      <numFmt numFmtId="2" formatCode="0.00"/>
    </dxf>
    <dxf>
      <numFmt numFmtId="2" formatCode="0.00"/>
    </dxf>
    <dxf>
      <numFmt numFmtId="2" formatCode="0.00"/>
    </dxf>
    <dxf>
      <numFmt numFmtId="2" formatCode="0.00"/>
    </dxf>
    <dxf>
      <numFmt numFmtId="13" formatCode="0%"/>
    </dxf>
    <dxf>
      <numFmt numFmtId="2" formatCode="0.00"/>
    </dxf>
    <dxf>
      <numFmt numFmtId="2" formatCode="0.00"/>
    </dxf>
    <dxf>
      <numFmt numFmtId="2" formatCode="0.00"/>
    </dxf>
    <dxf>
      <numFmt numFmtId="2" formatCode="0.00"/>
    </dxf>
    <dxf>
      <numFmt numFmtId="13" formatCode="0%"/>
    </dxf>
    <dxf>
      <numFmt numFmtId="2" formatCode="0.00"/>
    </dxf>
    <dxf>
      <numFmt numFmtId="2" formatCode="0.00"/>
    </dxf>
    <dxf>
      <numFmt numFmtId="2" formatCode="0.00"/>
    </dxf>
    <dxf>
      <numFmt numFmtId="2" formatCode="0.00"/>
    </dxf>
    <dxf>
      <numFmt numFmtId="13" formatCode="0%"/>
    </dxf>
    <dxf>
      <numFmt numFmtId="2" formatCode="0.00"/>
    </dxf>
    <dxf>
      <numFmt numFmtId="2" formatCode="0.00"/>
    </dxf>
    <dxf>
      <numFmt numFmtId="2" formatCode="0.00"/>
    </dxf>
    <dxf>
      <numFmt numFmtId="2" formatCode="0.00"/>
    </dxf>
    <dxf>
      <numFmt numFmtId="13" formatCode="0%"/>
    </dxf>
    <dxf>
      <numFmt numFmtId="2" formatCode="0.00"/>
    </dxf>
    <dxf>
      <numFmt numFmtId="2" formatCode="0.00"/>
    </dxf>
    <dxf>
      <numFmt numFmtId="2" formatCode="0.00"/>
    </dxf>
    <dxf>
      <numFmt numFmtId="13" formatCode="0%"/>
    </dxf>
    <dxf>
      <numFmt numFmtId="2" formatCode="0.00"/>
    </dxf>
    <dxf>
      <numFmt numFmtId="2" formatCode="0.00"/>
    </dxf>
    <dxf>
      <numFmt numFmtId="2" formatCode="0.00"/>
    </dxf>
    <dxf>
      <numFmt numFmtId="2" formatCode="0.00"/>
    </dxf>
    <dxf>
      <numFmt numFmtId="13" formatCode="0%"/>
    </dxf>
    <dxf>
      <numFmt numFmtId="2" formatCode="0.00"/>
    </dxf>
    <dxf>
      <numFmt numFmtId="2" formatCode="0.00"/>
    </dxf>
    <dxf>
      <numFmt numFmtId="2" formatCode="0.00"/>
    </dxf>
    <dxf>
      <numFmt numFmtId="2" formatCode="0.00"/>
    </dxf>
    <dxf>
      <numFmt numFmtId="13" formatCode="0%"/>
    </dxf>
    <dxf>
      <numFmt numFmtId="2" formatCode="0.00"/>
    </dxf>
    <dxf>
      <numFmt numFmtId="2" formatCode="0.00"/>
    </dxf>
    <dxf>
      <numFmt numFmtId="2" formatCode="0.00"/>
    </dxf>
    <dxf>
      <numFmt numFmtId="13" formatCode="0%"/>
    </dxf>
    <dxf>
      <numFmt numFmtId="2" formatCode="0.00"/>
    </dxf>
    <dxf>
      <numFmt numFmtId="2" formatCode="0.00"/>
    </dxf>
    <dxf>
      <numFmt numFmtId="2" formatCode="0.00"/>
    </dxf>
    <dxf>
      <numFmt numFmtId="13" formatCode="0%"/>
    </dxf>
    <dxf>
      <numFmt numFmtId="2" formatCode="0.00"/>
    </dxf>
    <dxf>
      <numFmt numFmtId="2" formatCode="0.00"/>
    </dxf>
    <dxf>
      <numFmt numFmtId="2" formatCode="0.00"/>
    </dxf>
    <dxf>
      <numFmt numFmtId="13" formatCode="0%"/>
    </dxf>
    <dxf>
      <numFmt numFmtId="2" formatCode="0.00"/>
    </dxf>
    <dxf>
      <numFmt numFmtId="2" formatCode="0.00"/>
    </dxf>
    <dxf>
      <numFmt numFmtId="2" formatCode="0.00"/>
    </dxf>
    <dxf>
      <numFmt numFmtId="13" formatCode="0%"/>
    </dxf>
    <dxf>
      <numFmt numFmtId="2" formatCode="0.00"/>
    </dxf>
    <dxf>
      <numFmt numFmtId="2" formatCode="0.00"/>
    </dxf>
    <dxf>
      <numFmt numFmtId="2" formatCode="0.00"/>
    </dxf>
    <dxf>
      <numFmt numFmtId="13" formatCode="0%"/>
    </dxf>
    <dxf>
      <numFmt numFmtId="2" formatCode="0.00"/>
    </dxf>
    <dxf>
      <numFmt numFmtId="2" formatCode="0.00"/>
    </dxf>
    <dxf>
      <numFmt numFmtId="2" formatCode="0.00"/>
    </dxf>
    <dxf>
      <numFmt numFmtId="2" formatCode="0.00"/>
    </dxf>
    <dxf>
      <numFmt numFmtId="13" formatCode="0%"/>
    </dxf>
    <dxf>
      <numFmt numFmtId="2" formatCode="0.00"/>
    </dxf>
    <dxf>
      <numFmt numFmtId="2" formatCode="0.00"/>
    </dxf>
    <dxf>
      <numFmt numFmtId="2" formatCode="0.00"/>
    </dxf>
    <dxf>
      <font>
        <b/>
        <color theme="1"/>
      </font>
      <border>
        <bottom style="thin">
          <color theme="5"/>
        </bottom>
        <vertical/>
        <horizontal/>
      </border>
    </dxf>
    <dxf>
      <font>
        <sz val="8"/>
        <color theme="1"/>
      </font>
      <border diagonalUp="0" diagonalDown="0">
        <left/>
        <right/>
        <top/>
        <bottom/>
        <vertical/>
        <horizontal/>
      </border>
    </dxf>
    <dxf>
      <font>
        <b/>
        <color theme="1"/>
      </font>
      <border>
        <bottom style="thin">
          <color theme="6"/>
        </bottom>
        <vertical/>
        <horizontal/>
      </border>
    </dxf>
    <dxf>
      <font>
        <sz val="8"/>
        <color auto="1"/>
      </font>
      <fill>
        <patternFill>
          <bgColor theme="0" tint="-4.9989318521683403E-2"/>
        </patternFill>
      </fill>
      <border>
        <left style="thin">
          <color theme="6"/>
        </left>
        <right style="thin">
          <color theme="6"/>
        </right>
        <top style="thin">
          <color theme="6"/>
        </top>
        <bottom style="thin">
          <color theme="6"/>
        </bottom>
        <vertical/>
        <horizontal/>
      </border>
    </dxf>
  </dxfs>
  <tableStyles count="2" defaultTableStyle="TableStyleMedium2" defaultPivotStyle="PivotStyleLight16">
    <tableStyle name="My Style" pivot="0" table="0" count="10" xr9:uid="{40291F21-0573-4358-8703-F584088292A5}">
      <tableStyleElement type="wholeTable" dxfId="76"/>
      <tableStyleElement type="headerRow" dxfId="75"/>
    </tableStyle>
    <tableStyle name="My Style2" pivot="0" table="0" count="10" xr9:uid="{B37CA5EE-3A46-4FE4-B84A-ACBC4870ADA9}">
      <tableStyleElement type="wholeTable" dxfId="74"/>
      <tableStyleElement type="headerRow" dxfId="73"/>
    </tableStyle>
  </tableStyle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6" tint="0.79998168889431442"/>
              <bgColor theme="6"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6" tint="0.59999389629810485"/>
              <bgColor theme="6"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 Style">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My Style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theme" Target="theme/theme1.xml"/><Relationship Id="rId34" Type="http://schemas.openxmlformats.org/officeDocument/2006/relationships/customXml" Target="../customXml/item8.xml"/><Relationship Id="rId42" Type="http://schemas.openxmlformats.org/officeDocument/2006/relationships/customXml" Target="../customXml/item16.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microsoft.com/office/2007/relationships/slicerCache" Target="slicerCaches/slicerCache2.xml"/><Relationship Id="rId29" Type="http://schemas.openxmlformats.org/officeDocument/2006/relationships/customXml" Target="../customXml/item3.xml"/><Relationship Id="rId41" Type="http://schemas.openxmlformats.org/officeDocument/2006/relationships/customXml" Target="../customXml/item15.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haredStrings" Target="sharedString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styles" Target="styles.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pivotCacheDefinition" Target="pivotCache/pivotCacheDefinition5.xml"/><Relationship Id="rId19" Type="http://schemas.microsoft.com/office/2007/relationships/slicerCache" Target="slicerCaches/slicerCache1.xml"/><Relationship Id="rId31" Type="http://schemas.openxmlformats.org/officeDocument/2006/relationships/customXml" Target="../customXml/item5.xml"/><Relationship Id="rId44"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connections" Target="connection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powerPivotData" Target="model/item.data"/><Relationship Id="rId33" Type="http://schemas.openxmlformats.org/officeDocument/2006/relationships/customXml" Target="../customXml/item7.xml"/><Relationship Id="rId38" Type="http://schemas.openxmlformats.org/officeDocument/2006/relationships/customXml" Target="../customXml/item12.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[Book2.xlsx]Pivot Report!PivotTable7</c:name>
    <c:fmtId val="22"/>
  </c:pivotSource>
  <c:chart>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non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2"/>
        <c:spPr>
          <a:solidFill>
            <a:schemeClr val="accent2"/>
          </a:solidFill>
          <a:ln>
            <a:noFill/>
          </a:ln>
          <a:effectLst/>
        </c:spPr>
        <c:dLbl>
          <c:idx val="0"/>
          <c:layout>
            <c:manualLayout>
              <c:x val="0.57444088201549648"/>
              <c:y val="5.4712479121927921E-2"/>
            </c:manualLayout>
          </c:layout>
          <c:spPr>
            <a:noFill/>
            <a:ln>
              <a:noFill/>
            </a:ln>
            <a:effectLst/>
          </c:spPr>
          <c:txPr>
            <a:bodyPr rot="0" spcFirstLastPara="1" vertOverflow="ellipsis" vert="horz" wrap="none" lIns="38100" tIns="19050" rIns="38100" bIns="19050" anchor="ctr" anchorCtr="1">
              <a:no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21239253775912742"/>
                  <c:h val="0.36582557862085419"/>
                </c:manualLayout>
              </c15:layout>
            </c:ext>
          </c:extLst>
        </c:dLbl>
      </c:pivotFmt>
      <c:pivotFmt>
        <c:idx val="3"/>
        <c:spPr>
          <a:solidFill>
            <a:schemeClr val="accent2"/>
          </a:solidFill>
          <a:ln>
            <a:noFill/>
          </a:ln>
          <a:effectLst/>
        </c:spPr>
        <c:dLbl>
          <c:idx val="0"/>
          <c:layout>
            <c:manualLayout>
              <c:x val="0.57257060681786032"/>
              <c:y val="5.6582557862085422E-2"/>
            </c:manualLayout>
          </c:layout>
          <c:spPr>
            <a:noFill/>
            <a:ln>
              <a:noFill/>
            </a:ln>
            <a:effectLst/>
          </c:spPr>
          <c:txPr>
            <a:bodyPr rot="0" spcFirstLastPara="1" vertOverflow="ellipsis" vert="horz" wrap="none" lIns="38100" tIns="19050" rIns="38100" bIns="19050" anchor="ctr" anchorCtr="1">
              <a:no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24233265751960645"/>
                  <c:h val="0.32794679074206634"/>
                </c:manualLayout>
              </c15:layout>
            </c:ext>
          </c:extLst>
        </c:dLbl>
      </c:pivotFmt>
    </c:pivotFmts>
    <c:plotArea>
      <c:layout>
        <c:manualLayout>
          <c:layoutTarget val="inner"/>
          <c:xMode val="edge"/>
          <c:yMode val="edge"/>
          <c:x val="7.8364001291282431E-2"/>
          <c:y val="8.0516185476815383E-2"/>
          <c:w val="0.85209061434165645"/>
          <c:h val="0.82286672499270908"/>
        </c:manualLayout>
      </c:layout>
      <c:barChart>
        <c:barDir val="bar"/>
        <c:grouping val="clustered"/>
        <c:varyColors val="0"/>
        <c:ser>
          <c:idx val="0"/>
          <c:order val="0"/>
          <c:tx>
            <c:strRef>
              <c:f>'Pivot Report'!$B$39</c:f>
              <c:strCache>
                <c:ptCount val="1"/>
                <c:pt idx="0">
                  <c:v>Count of Patient Admission Flag</c:v>
                </c:pt>
              </c:strCache>
            </c:strRef>
          </c:tx>
          <c:spPr>
            <a:solidFill>
              <a:schemeClr val="accent1"/>
            </a:solidFill>
            <a:ln>
              <a:noFill/>
            </a:ln>
            <a:effectLst/>
          </c:spPr>
          <c:invertIfNegative val="0"/>
          <c:cat>
            <c:strRef>
              <c:f>'Pivot Report'!$A$40:$A$42</c:f>
              <c:strCache>
                <c:ptCount val="2"/>
                <c:pt idx="0">
                  <c:v>Admitted</c:v>
                </c:pt>
                <c:pt idx="1">
                  <c:v>Not Admitted</c:v>
                </c:pt>
              </c:strCache>
            </c:strRef>
          </c:cat>
          <c:val>
            <c:numRef>
              <c:f>'Pivot Report'!$B$40:$B$42</c:f>
              <c:numCache>
                <c:formatCode>General</c:formatCode>
                <c:ptCount val="2"/>
                <c:pt idx="0">
                  <c:v>217</c:v>
                </c:pt>
                <c:pt idx="1">
                  <c:v>252</c:v>
                </c:pt>
              </c:numCache>
            </c:numRef>
          </c:val>
          <c:extLst>
            <c:ext xmlns:c16="http://schemas.microsoft.com/office/drawing/2014/chart" uri="{C3380CC4-5D6E-409C-BE32-E72D297353CC}">
              <c16:uniqueId val="{00000005-E6DF-4C3B-A7BF-BA002337B411}"/>
            </c:ext>
          </c:extLst>
        </c:ser>
        <c:ser>
          <c:idx val="1"/>
          <c:order val="1"/>
          <c:tx>
            <c:strRef>
              <c:f>'Pivot Report'!$C$39</c:f>
              <c:strCache>
                <c:ptCount val="1"/>
                <c:pt idx="0">
                  <c:v>Count of Patient Admission Flag2</c:v>
                </c:pt>
              </c:strCache>
            </c:strRef>
          </c:tx>
          <c:spPr>
            <a:solidFill>
              <a:schemeClr val="accent2"/>
            </a:solidFill>
            <a:ln>
              <a:noFill/>
            </a:ln>
            <a:effectLst/>
          </c:spPr>
          <c:invertIfNegative val="0"/>
          <c:dPt>
            <c:idx val="0"/>
            <c:invertIfNegative val="0"/>
            <c:bubble3D val="0"/>
          </c:dPt>
          <c:dPt>
            <c:idx val="1"/>
            <c:invertIfNegative val="0"/>
            <c:bubble3D val="0"/>
          </c:dPt>
          <c:dLbls>
            <c:dLbl>
              <c:idx val="0"/>
              <c:layout>
                <c:manualLayout>
                  <c:x val="0.57257060681786032"/>
                  <c:y val="5.6582557862085422E-2"/>
                </c:manualLayout>
              </c:layout>
              <c:spPr>
                <a:noFill/>
                <a:ln>
                  <a:noFill/>
                </a:ln>
                <a:effectLst/>
              </c:spPr>
              <c:txPr>
                <a:bodyPr rot="0" spcFirstLastPara="1" vertOverflow="ellipsis" vert="horz" wrap="none" lIns="38100" tIns="19050" rIns="38100" bIns="19050" anchor="ctr" anchorCtr="1">
                  <a:no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24233265751960645"/>
                      <c:h val="0.32794679074206634"/>
                    </c:manualLayout>
                  </c15:layout>
                </c:ext>
              </c:extLst>
            </c:dLbl>
            <c:dLbl>
              <c:idx val="1"/>
              <c:layout>
                <c:manualLayout>
                  <c:x val="0.57444088201549648"/>
                  <c:y val="5.4712479121927921E-2"/>
                </c:manualLayout>
              </c:layout>
              <c:spPr>
                <a:noFill/>
                <a:ln>
                  <a:noFill/>
                </a:ln>
                <a:effectLst/>
              </c:spPr>
              <c:txPr>
                <a:bodyPr rot="0" spcFirstLastPara="1" vertOverflow="ellipsis" vert="horz" wrap="none" lIns="38100" tIns="19050" rIns="38100" bIns="19050" anchor="ctr" anchorCtr="1">
                  <a:no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21239253775912742"/>
                      <c:h val="0.36582557862085419"/>
                    </c:manualLayout>
                  </c15:layout>
                </c:ext>
              </c:extLst>
            </c:dLbl>
            <c:spPr>
              <a:noFill/>
              <a:ln>
                <a:noFill/>
              </a:ln>
              <a:effectLst/>
            </c:spPr>
            <c:txPr>
              <a:bodyPr rot="0" spcFirstLastPara="1" vertOverflow="ellipsis" vert="horz" wrap="non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ext>
            </c:extLst>
          </c:dLbls>
          <c:cat>
            <c:strRef>
              <c:f>'Pivot Report'!$A$40:$A$42</c:f>
              <c:strCache>
                <c:ptCount val="2"/>
                <c:pt idx="0">
                  <c:v>Admitted</c:v>
                </c:pt>
                <c:pt idx="1">
                  <c:v>Not Admitted</c:v>
                </c:pt>
              </c:strCache>
            </c:strRef>
          </c:cat>
          <c:val>
            <c:numRef>
              <c:f>'Pivot Report'!$C$40:$C$42</c:f>
              <c:numCache>
                <c:formatCode>0%</c:formatCode>
                <c:ptCount val="2"/>
                <c:pt idx="0">
                  <c:v>0.46268656716417911</c:v>
                </c:pt>
                <c:pt idx="1">
                  <c:v>0.53731343283582089</c:v>
                </c:pt>
              </c:numCache>
            </c:numRef>
          </c:val>
          <c:extLst>
            <c:ext xmlns:c16="http://schemas.microsoft.com/office/drawing/2014/chart" uri="{C3380CC4-5D6E-409C-BE32-E72D297353CC}">
              <c16:uniqueId val="{00000006-E6DF-4C3B-A7BF-BA002337B411}"/>
            </c:ext>
          </c:extLst>
        </c:ser>
        <c:dLbls>
          <c:showLegendKey val="0"/>
          <c:showVal val="0"/>
          <c:showCatName val="0"/>
          <c:showSerName val="0"/>
          <c:showPercent val="0"/>
          <c:showBubbleSize val="0"/>
        </c:dLbls>
        <c:gapWidth val="117"/>
        <c:overlap val="47"/>
        <c:axId val="666599664"/>
        <c:axId val="666590544"/>
      </c:barChart>
      <c:catAx>
        <c:axId val="666599664"/>
        <c:scaling>
          <c:orientation val="minMax"/>
        </c:scaling>
        <c:delete val="1"/>
        <c:axPos val="l"/>
        <c:numFmt formatCode="General" sourceLinked="1"/>
        <c:majorTickMark val="none"/>
        <c:minorTickMark val="none"/>
        <c:tickLblPos val="nextTo"/>
        <c:crossAx val="666590544"/>
        <c:crosses val="autoZero"/>
        <c:auto val="1"/>
        <c:lblAlgn val="ctr"/>
        <c:lblOffset val="100"/>
        <c:noMultiLvlLbl val="0"/>
      </c:catAx>
      <c:valAx>
        <c:axId val="666590544"/>
        <c:scaling>
          <c:orientation val="minMax"/>
        </c:scaling>
        <c:delete val="1"/>
        <c:axPos val="b"/>
        <c:numFmt formatCode="General" sourceLinked="1"/>
        <c:majorTickMark val="none"/>
        <c:minorTickMark val="none"/>
        <c:tickLblPos val="nextTo"/>
        <c:crossAx val="6665996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[Book2.xlsx]Pivot Report!PivotTable5</c:name>
    <c:fmtId val="19"/>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Report'!$J$5</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Report'!$I$6:$I$36</c:f>
              <c:strCache>
                <c:ptCount val="30"/>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'Pivot Report'!$J$6:$J$36</c:f>
              <c:numCache>
                <c:formatCode>0.00</c:formatCode>
                <c:ptCount val="30"/>
                <c:pt idx="0">
                  <c:v>31.833333333333332</c:v>
                </c:pt>
                <c:pt idx="1">
                  <c:v>39.368421052631582</c:v>
                </c:pt>
                <c:pt idx="2">
                  <c:v>32.352941176470587</c:v>
                </c:pt>
                <c:pt idx="3">
                  <c:v>34.049999999999997</c:v>
                </c:pt>
                <c:pt idx="4">
                  <c:v>31.8</c:v>
                </c:pt>
                <c:pt idx="5">
                  <c:v>37.823529411764703</c:v>
                </c:pt>
                <c:pt idx="6">
                  <c:v>31.875</c:v>
                </c:pt>
                <c:pt idx="7">
                  <c:v>27.3</c:v>
                </c:pt>
                <c:pt idx="8">
                  <c:v>31.933333333333334</c:v>
                </c:pt>
                <c:pt idx="9">
                  <c:v>30.5</c:v>
                </c:pt>
                <c:pt idx="10">
                  <c:v>38.0625</c:v>
                </c:pt>
                <c:pt idx="11">
                  <c:v>36.333333333333336</c:v>
                </c:pt>
                <c:pt idx="12">
                  <c:v>27</c:v>
                </c:pt>
                <c:pt idx="13">
                  <c:v>37.46153846153846</c:v>
                </c:pt>
                <c:pt idx="14">
                  <c:v>39.25</c:v>
                </c:pt>
                <c:pt idx="15">
                  <c:v>33.647058823529413</c:v>
                </c:pt>
                <c:pt idx="16">
                  <c:v>42.2</c:v>
                </c:pt>
                <c:pt idx="17">
                  <c:v>33.3125</c:v>
                </c:pt>
                <c:pt idx="18">
                  <c:v>25.76923076923077</c:v>
                </c:pt>
                <c:pt idx="19">
                  <c:v>37.125</c:v>
                </c:pt>
                <c:pt idx="20">
                  <c:v>37</c:v>
                </c:pt>
                <c:pt idx="21">
                  <c:v>36.80952380952381</c:v>
                </c:pt>
                <c:pt idx="22">
                  <c:v>39.799999999999997</c:v>
                </c:pt>
                <c:pt idx="23">
                  <c:v>38</c:v>
                </c:pt>
                <c:pt idx="24">
                  <c:v>36.133333333333333</c:v>
                </c:pt>
                <c:pt idx="25">
                  <c:v>36.555555555555557</c:v>
                </c:pt>
                <c:pt idx="26">
                  <c:v>39.210526315789473</c:v>
                </c:pt>
                <c:pt idx="27">
                  <c:v>31.1875</c:v>
                </c:pt>
                <c:pt idx="28">
                  <c:v>35.153846153846153</c:v>
                </c:pt>
                <c:pt idx="29">
                  <c:v>34.25</c:v>
                </c:pt>
              </c:numCache>
            </c:numRef>
          </c:val>
          <c:extLst>
            <c:ext xmlns:c16="http://schemas.microsoft.com/office/drawing/2014/chart" uri="{C3380CC4-5D6E-409C-BE32-E72D297353CC}">
              <c16:uniqueId val="{00000001-8B36-4205-BA9A-604DE9105892}"/>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610370800"/>
        <c:axId val="610363120"/>
      </c:areaChart>
      <c:catAx>
        <c:axId val="610370800"/>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1200" b="0" i="0" u="none" strike="noStrike" kern="1200" baseline="0">
                <a:solidFill>
                  <a:schemeClr val="lt1"/>
                </a:solidFill>
                <a:latin typeface="+mn-lt"/>
                <a:ea typeface="+mn-ea"/>
                <a:cs typeface="+mn-cs"/>
              </a:defRPr>
            </a:pPr>
            <a:endParaRPr lang="en-US"/>
          </a:p>
        </c:txPr>
        <c:crossAx val="610363120"/>
        <c:crosses val="autoZero"/>
        <c:auto val="1"/>
        <c:lblAlgn val="ctr"/>
        <c:lblOffset val="100"/>
        <c:noMultiLvlLbl val="0"/>
      </c:catAx>
      <c:valAx>
        <c:axId val="610363120"/>
        <c:scaling>
          <c:orientation val="minMax"/>
        </c:scaling>
        <c:delete val="1"/>
        <c:axPos val="l"/>
        <c:numFmt formatCode="0.00" sourceLinked="1"/>
        <c:majorTickMark val="out"/>
        <c:minorTickMark val="none"/>
        <c:tickLblPos val="nextTo"/>
        <c:crossAx val="610370800"/>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[Book2.xlsx]Pivot Report!PivotTable2</c:name>
    <c:fmtId val="1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7222359639600022E-2"/>
          <c:y val="6.6948555320648348E-2"/>
          <c:w val="0.93693767663858774"/>
          <c:h val="0.83157374884164847"/>
        </c:manualLayout>
      </c:layout>
      <c:areaChart>
        <c:grouping val="standard"/>
        <c:varyColors val="0"/>
        <c:ser>
          <c:idx val="0"/>
          <c:order val="0"/>
          <c:tx>
            <c:strRef>
              <c:f>'Pivot Report'!$F$4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Report'!$E$5:$E$35</c:f>
              <c:strCache>
                <c:ptCount val="30"/>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'Pivot Report'!$F$5:$F$35</c:f>
              <c:numCache>
                <c:formatCode>General</c:formatCode>
                <c:ptCount val="30"/>
                <c:pt idx="0">
                  <c:v>12</c:v>
                </c:pt>
                <c:pt idx="1">
                  <c:v>19</c:v>
                </c:pt>
                <c:pt idx="2">
                  <c:v>17</c:v>
                </c:pt>
                <c:pt idx="3">
                  <c:v>20</c:v>
                </c:pt>
                <c:pt idx="4">
                  <c:v>15</c:v>
                </c:pt>
                <c:pt idx="5">
                  <c:v>17</c:v>
                </c:pt>
                <c:pt idx="6">
                  <c:v>16</c:v>
                </c:pt>
                <c:pt idx="7">
                  <c:v>10</c:v>
                </c:pt>
                <c:pt idx="8">
                  <c:v>15</c:v>
                </c:pt>
                <c:pt idx="9">
                  <c:v>14</c:v>
                </c:pt>
                <c:pt idx="10">
                  <c:v>16</c:v>
                </c:pt>
                <c:pt idx="11">
                  <c:v>12</c:v>
                </c:pt>
                <c:pt idx="12">
                  <c:v>12</c:v>
                </c:pt>
                <c:pt idx="13">
                  <c:v>13</c:v>
                </c:pt>
                <c:pt idx="14">
                  <c:v>20</c:v>
                </c:pt>
                <c:pt idx="15">
                  <c:v>17</c:v>
                </c:pt>
                <c:pt idx="16">
                  <c:v>10</c:v>
                </c:pt>
                <c:pt idx="17">
                  <c:v>16</c:v>
                </c:pt>
                <c:pt idx="18">
                  <c:v>13</c:v>
                </c:pt>
                <c:pt idx="19">
                  <c:v>16</c:v>
                </c:pt>
                <c:pt idx="20">
                  <c:v>18</c:v>
                </c:pt>
                <c:pt idx="21">
                  <c:v>21</c:v>
                </c:pt>
                <c:pt idx="22">
                  <c:v>15</c:v>
                </c:pt>
                <c:pt idx="23">
                  <c:v>18</c:v>
                </c:pt>
                <c:pt idx="24">
                  <c:v>15</c:v>
                </c:pt>
                <c:pt idx="25">
                  <c:v>18</c:v>
                </c:pt>
                <c:pt idx="26">
                  <c:v>19</c:v>
                </c:pt>
                <c:pt idx="27">
                  <c:v>16</c:v>
                </c:pt>
                <c:pt idx="28">
                  <c:v>13</c:v>
                </c:pt>
                <c:pt idx="29">
                  <c:v>16</c:v>
                </c:pt>
              </c:numCache>
            </c:numRef>
          </c:val>
          <c:extLst>
            <c:ext xmlns:c16="http://schemas.microsoft.com/office/drawing/2014/chart" uri="{C3380CC4-5D6E-409C-BE32-E72D297353CC}">
              <c16:uniqueId val="{00000001-5FD1-4BDC-A51D-8AC6A1A98F1D}"/>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34802448"/>
        <c:axId val="34802928"/>
      </c:areaChart>
      <c:catAx>
        <c:axId val="34802448"/>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34802928"/>
        <c:crosses val="autoZero"/>
        <c:auto val="1"/>
        <c:lblAlgn val="ctr"/>
        <c:lblOffset val="100"/>
        <c:noMultiLvlLbl val="0"/>
      </c:catAx>
      <c:valAx>
        <c:axId val="34802928"/>
        <c:scaling>
          <c:orientation val="minMax"/>
        </c:scaling>
        <c:delete val="1"/>
        <c:axPos val="l"/>
        <c:numFmt formatCode="General" sourceLinked="1"/>
        <c:majorTickMark val="out"/>
        <c:minorTickMark val="none"/>
        <c:tickLblPos val="nextTo"/>
        <c:crossAx val="34802448"/>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[Book2.xlsx]Pivot Report!PivotTable2</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
          <c:w val="0.91214963614731193"/>
          <c:h val="1"/>
        </c:manualLayout>
      </c:layout>
      <c:areaChart>
        <c:grouping val="standard"/>
        <c:varyColors val="0"/>
        <c:ser>
          <c:idx val="0"/>
          <c:order val="0"/>
          <c:tx>
            <c:strRef>
              <c:f>'Pivot Report'!$F$4</c:f>
              <c:strCache>
                <c:ptCount val="1"/>
                <c:pt idx="0">
                  <c:v>Total</c:v>
                </c:pt>
              </c:strCache>
            </c:strRef>
          </c:tx>
          <c:spPr>
            <a:solidFill>
              <a:schemeClr val="accent1"/>
            </a:solidFill>
            <a:ln w="25400">
              <a:noFill/>
            </a:ln>
            <a:effectLst/>
          </c:spPr>
          <c:cat>
            <c:strRef>
              <c:f>'Pivot Report'!$E$5:$E$35</c:f>
              <c:strCache>
                <c:ptCount val="30"/>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'Pivot Report'!$F$5:$F$35</c:f>
              <c:numCache>
                <c:formatCode>General</c:formatCode>
                <c:ptCount val="30"/>
                <c:pt idx="0">
                  <c:v>12</c:v>
                </c:pt>
                <c:pt idx="1">
                  <c:v>19</c:v>
                </c:pt>
                <c:pt idx="2">
                  <c:v>17</c:v>
                </c:pt>
                <c:pt idx="3">
                  <c:v>20</c:v>
                </c:pt>
                <c:pt idx="4">
                  <c:v>15</c:v>
                </c:pt>
                <c:pt idx="5">
                  <c:v>17</c:v>
                </c:pt>
                <c:pt idx="6">
                  <c:v>16</c:v>
                </c:pt>
                <c:pt idx="7">
                  <c:v>10</c:v>
                </c:pt>
                <c:pt idx="8">
                  <c:v>15</c:v>
                </c:pt>
                <c:pt idx="9">
                  <c:v>14</c:v>
                </c:pt>
                <c:pt idx="10">
                  <c:v>16</c:v>
                </c:pt>
                <c:pt idx="11">
                  <c:v>12</c:v>
                </c:pt>
                <c:pt idx="12">
                  <c:v>12</c:v>
                </c:pt>
                <c:pt idx="13">
                  <c:v>13</c:v>
                </c:pt>
                <c:pt idx="14">
                  <c:v>20</c:v>
                </c:pt>
                <c:pt idx="15">
                  <c:v>17</c:v>
                </c:pt>
                <c:pt idx="16">
                  <c:v>10</c:v>
                </c:pt>
                <c:pt idx="17">
                  <c:v>16</c:v>
                </c:pt>
                <c:pt idx="18">
                  <c:v>13</c:v>
                </c:pt>
                <c:pt idx="19">
                  <c:v>16</c:v>
                </c:pt>
                <c:pt idx="20">
                  <c:v>18</c:v>
                </c:pt>
                <c:pt idx="21">
                  <c:v>21</c:v>
                </c:pt>
                <c:pt idx="22">
                  <c:v>15</c:v>
                </c:pt>
                <c:pt idx="23">
                  <c:v>18</c:v>
                </c:pt>
                <c:pt idx="24">
                  <c:v>15</c:v>
                </c:pt>
                <c:pt idx="25">
                  <c:v>18</c:v>
                </c:pt>
                <c:pt idx="26">
                  <c:v>19</c:v>
                </c:pt>
                <c:pt idx="27">
                  <c:v>16</c:v>
                </c:pt>
                <c:pt idx="28">
                  <c:v>13</c:v>
                </c:pt>
                <c:pt idx="29">
                  <c:v>16</c:v>
                </c:pt>
              </c:numCache>
            </c:numRef>
          </c:val>
          <c:extLst>
            <c:ext xmlns:c16="http://schemas.microsoft.com/office/drawing/2014/chart" uri="{C3380CC4-5D6E-409C-BE32-E72D297353CC}">
              <c16:uniqueId val="{00000002-B003-45EF-A241-DFFBDEDA329E}"/>
            </c:ext>
          </c:extLst>
        </c:ser>
        <c:dLbls>
          <c:showLegendKey val="0"/>
          <c:showVal val="0"/>
          <c:showCatName val="0"/>
          <c:showSerName val="0"/>
          <c:showPercent val="0"/>
          <c:showBubbleSize val="0"/>
        </c:dLbls>
        <c:axId val="2049861104"/>
        <c:axId val="2049861584"/>
      </c:areaChart>
      <c:catAx>
        <c:axId val="2049861104"/>
        <c:scaling>
          <c:orientation val="minMax"/>
        </c:scaling>
        <c:delete val="1"/>
        <c:axPos val="b"/>
        <c:numFmt formatCode="General" sourceLinked="1"/>
        <c:majorTickMark val="out"/>
        <c:minorTickMark val="none"/>
        <c:tickLblPos val="nextTo"/>
        <c:crossAx val="2049861584"/>
        <c:crosses val="autoZero"/>
        <c:auto val="1"/>
        <c:lblAlgn val="ctr"/>
        <c:lblOffset val="100"/>
        <c:noMultiLvlLbl val="0"/>
      </c:catAx>
      <c:valAx>
        <c:axId val="2049861584"/>
        <c:scaling>
          <c:orientation val="minMax"/>
        </c:scaling>
        <c:delete val="1"/>
        <c:axPos val="l"/>
        <c:numFmt formatCode="General" sourceLinked="1"/>
        <c:majorTickMark val="none"/>
        <c:minorTickMark val="none"/>
        <c:tickLblPos val="nextTo"/>
        <c:crossAx val="2049861104"/>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[Book2.xlsx]Pivot Report!PivotTable5</c:name>
    <c:fmtId val="1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Report'!$J$5</c:f>
              <c:strCache>
                <c:ptCount val="1"/>
                <c:pt idx="0">
                  <c:v>Total</c:v>
                </c:pt>
              </c:strCache>
            </c:strRef>
          </c:tx>
          <c:spPr>
            <a:solidFill>
              <a:schemeClr val="accent1"/>
            </a:solidFill>
            <a:ln w="25400">
              <a:noFill/>
            </a:ln>
            <a:effectLst/>
          </c:spPr>
          <c:cat>
            <c:strRef>
              <c:f>'Pivot Report'!$I$6:$I$36</c:f>
              <c:strCache>
                <c:ptCount val="30"/>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'Pivot Report'!$J$6:$J$36</c:f>
              <c:numCache>
                <c:formatCode>0.00</c:formatCode>
                <c:ptCount val="30"/>
                <c:pt idx="0">
                  <c:v>31.833333333333332</c:v>
                </c:pt>
                <c:pt idx="1">
                  <c:v>39.368421052631582</c:v>
                </c:pt>
                <c:pt idx="2">
                  <c:v>32.352941176470587</c:v>
                </c:pt>
                <c:pt idx="3">
                  <c:v>34.049999999999997</c:v>
                </c:pt>
                <c:pt idx="4">
                  <c:v>31.8</c:v>
                </c:pt>
                <c:pt idx="5">
                  <c:v>37.823529411764703</c:v>
                </c:pt>
                <c:pt idx="6">
                  <c:v>31.875</c:v>
                </c:pt>
                <c:pt idx="7">
                  <c:v>27.3</c:v>
                </c:pt>
                <c:pt idx="8">
                  <c:v>31.933333333333334</c:v>
                </c:pt>
                <c:pt idx="9">
                  <c:v>30.5</c:v>
                </c:pt>
                <c:pt idx="10">
                  <c:v>38.0625</c:v>
                </c:pt>
                <c:pt idx="11">
                  <c:v>36.333333333333336</c:v>
                </c:pt>
                <c:pt idx="12">
                  <c:v>27</c:v>
                </c:pt>
                <c:pt idx="13">
                  <c:v>37.46153846153846</c:v>
                </c:pt>
                <c:pt idx="14">
                  <c:v>39.25</c:v>
                </c:pt>
                <c:pt idx="15">
                  <c:v>33.647058823529413</c:v>
                </c:pt>
                <c:pt idx="16">
                  <c:v>42.2</c:v>
                </c:pt>
                <c:pt idx="17">
                  <c:v>33.3125</c:v>
                </c:pt>
                <c:pt idx="18">
                  <c:v>25.76923076923077</c:v>
                </c:pt>
                <c:pt idx="19">
                  <c:v>37.125</c:v>
                </c:pt>
                <c:pt idx="20">
                  <c:v>37</c:v>
                </c:pt>
                <c:pt idx="21">
                  <c:v>36.80952380952381</c:v>
                </c:pt>
                <c:pt idx="22">
                  <c:v>39.799999999999997</c:v>
                </c:pt>
                <c:pt idx="23">
                  <c:v>38</c:v>
                </c:pt>
                <c:pt idx="24">
                  <c:v>36.133333333333333</c:v>
                </c:pt>
                <c:pt idx="25">
                  <c:v>36.555555555555557</c:v>
                </c:pt>
                <c:pt idx="26">
                  <c:v>39.210526315789473</c:v>
                </c:pt>
                <c:pt idx="27">
                  <c:v>31.1875</c:v>
                </c:pt>
                <c:pt idx="28">
                  <c:v>35.153846153846153</c:v>
                </c:pt>
                <c:pt idx="29">
                  <c:v>34.25</c:v>
                </c:pt>
              </c:numCache>
            </c:numRef>
          </c:val>
          <c:extLst>
            <c:ext xmlns:c16="http://schemas.microsoft.com/office/drawing/2014/chart" uri="{C3380CC4-5D6E-409C-BE32-E72D297353CC}">
              <c16:uniqueId val="{00000002-C7D9-4E9A-AA4B-FBCB3E65B06D}"/>
            </c:ext>
          </c:extLst>
        </c:ser>
        <c:dLbls>
          <c:showLegendKey val="0"/>
          <c:showVal val="0"/>
          <c:showCatName val="0"/>
          <c:showSerName val="0"/>
          <c:showPercent val="0"/>
          <c:showBubbleSize val="0"/>
        </c:dLbls>
        <c:axId val="610370800"/>
        <c:axId val="610363120"/>
      </c:areaChart>
      <c:catAx>
        <c:axId val="610370800"/>
        <c:scaling>
          <c:orientation val="minMax"/>
        </c:scaling>
        <c:delete val="1"/>
        <c:axPos val="b"/>
        <c:numFmt formatCode="General" sourceLinked="1"/>
        <c:majorTickMark val="out"/>
        <c:minorTickMark val="none"/>
        <c:tickLblPos val="nextTo"/>
        <c:crossAx val="610363120"/>
        <c:crosses val="autoZero"/>
        <c:auto val="1"/>
        <c:lblAlgn val="ctr"/>
        <c:lblOffset val="100"/>
        <c:noMultiLvlLbl val="0"/>
      </c:catAx>
      <c:valAx>
        <c:axId val="610363120"/>
        <c:scaling>
          <c:orientation val="minMax"/>
        </c:scaling>
        <c:delete val="1"/>
        <c:axPos val="l"/>
        <c:numFmt formatCode="0.00" sourceLinked="1"/>
        <c:majorTickMark val="none"/>
        <c:minorTickMark val="none"/>
        <c:tickLblPos val="nextTo"/>
        <c:crossAx val="610370800"/>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[Book2.xlsx]Pivot Report!PivotTable6</c:name>
    <c:fmtId val="3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8914413374438089E-3"/>
          <c:y val="0.32231990947781075"/>
          <c:w val="0.99310850416013019"/>
          <c:h val="0.67768009052218925"/>
        </c:manualLayout>
      </c:layout>
      <c:areaChart>
        <c:grouping val="standard"/>
        <c:varyColors val="0"/>
        <c:ser>
          <c:idx val="0"/>
          <c:order val="0"/>
          <c:tx>
            <c:strRef>
              <c:f>'Pivot Report'!$M$5</c:f>
              <c:strCache>
                <c:ptCount val="1"/>
                <c:pt idx="0">
                  <c:v>Total</c:v>
                </c:pt>
              </c:strCache>
            </c:strRef>
          </c:tx>
          <c:spPr>
            <a:solidFill>
              <a:schemeClr val="accent1"/>
            </a:solidFill>
            <a:ln>
              <a:noFill/>
            </a:ln>
            <a:effectLst/>
          </c:spPr>
          <c:cat>
            <c:strRef>
              <c:f>'Pivot Report'!$L$6:$L$36</c:f>
              <c:strCache>
                <c:ptCount val="30"/>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'Pivot Report'!$M$6:$M$36</c:f>
              <c:numCache>
                <c:formatCode>0.00</c:formatCode>
                <c:ptCount val="30"/>
                <c:pt idx="0">
                  <c:v>3.8</c:v>
                </c:pt>
                <c:pt idx="1">
                  <c:v>6</c:v>
                </c:pt>
                <c:pt idx="2">
                  <c:v>4.5999999999999996</c:v>
                </c:pt>
                <c:pt idx="3">
                  <c:v>5.7142857142857144</c:v>
                </c:pt>
                <c:pt idx="4">
                  <c:v>4.666666666666667</c:v>
                </c:pt>
                <c:pt idx="5">
                  <c:v>3.4</c:v>
                </c:pt>
                <c:pt idx="6">
                  <c:v>5</c:v>
                </c:pt>
                <c:pt idx="7">
                  <c:v>5.8571428571428568</c:v>
                </c:pt>
                <c:pt idx="8">
                  <c:v>4.8888888888888893</c:v>
                </c:pt>
                <c:pt idx="9">
                  <c:v>6</c:v>
                </c:pt>
                <c:pt idx="10">
                  <c:v>4.7142857142857144</c:v>
                </c:pt>
                <c:pt idx="11">
                  <c:v>7.1428571428571432</c:v>
                </c:pt>
                <c:pt idx="12">
                  <c:v>4.333333333333333</c:v>
                </c:pt>
                <c:pt idx="13">
                  <c:v>6.7333333333333334</c:v>
                </c:pt>
                <c:pt idx="14">
                  <c:v>5.2857142857142856</c:v>
                </c:pt>
                <c:pt idx="15">
                  <c:v>4.916666666666667</c:v>
                </c:pt>
                <c:pt idx="16">
                  <c:v>4.333333333333333</c:v>
                </c:pt>
                <c:pt idx="17">
                  <c:v>5.333333333333333</c:v>
                </c:pt>
                <c:pt idx="18">
                  <c:v>4.3636363636363633</c:v>
                </c:pt>
                <c:pt idx="19">
                  <c:v>2.9090909090909092</c:v>
                </c:pt>
                <c:pt idx="20">
                  <c:v>4.5</c:v>
                </c:pt>
                <c:pt idx="21">
                  <c:v>6.1</c:v>
                </c:pt>
                <c:pt idx="22">
                  <c:v>6.666666666666667</c:v>
                </c:pt>
                <c:pt idx="23">
                  <c:v>5</c:v>
                </c:pt>
                <c:pt idx="24">
                  <c:v>2.5555555555555554</c:v>
                </c:pt>
                <c:pt idx="25">
                  <c:v>5.5714285714285712</c:v>
                </c:pt>
                <c:pt idx="26">
                  <c:v>4.8461538461538458</c:v>
                </c:pt>
                <c:pt idx="27">
                  <c:v>4.8888888888888893</c:v>
                </c:pt>
                <c:pt idx="28">
                  <c:v>4.8</c:v>
                </c:pt>
                <c:pt idx="29">
                  <c:v>5.375</c:v>
                </c:pt>
              </c:numCache>
            </c:numRef>
          </c:val>
          <c:extLst>
            <c:ext xmlns:c16="http://schemas.microsoft.com/office/drawing/2014/chart" uri="{C3380CC4-5D6E-409C-BE32-E72D297353CC}">
              <c16:uniqueId val="{00000000-27A2-4C76-9706-8415BBC414DF}"/>
            </c:ext>
          </c:extLst>
        </c:ser>
        <c:dLbls>
          <c:showLegendKey val="0"/>
          <c:showVal val="0"/>
          <c:showCatName val="0"/>
          <c:showSerName val="0"/>
          <c:showPercent val="0"/>
          <c:showBubbleSize val="0"/>
        </c:dLbls>
        <c:axId val="666583824"/>
        <c:axId val="666584304"/>
      </c:areaChart>
      <c:catAx>
        <c:axId val="666583824"/>
        <c:scaling>
          <c:orientation val="minMax"/>
        </c:scaling>
        <c:delete val="1"/>
        <c:axPos val="b"/>
        <c:numFmt formatCode="General" sourceLinked="1"/>
        <c:majorTickMark val="out"/>
        <c:minorTickMark val="none"/>
        <c:tickLblPos val="nextTo"/>
        <c:crossAx val="666584304"/>
        <c:crosses val="autoZero"/>
        <c:auto val="1"/>
        <c:lblAlgn val="ctr"/>
        <c:lblOffset val="100"/>
        <c:noMultiLvlLbl val="0"/>
      </c:catAx>
      <c:valAx>
        <c:axId val="666584304"/>
        <c:scaling>
          <c:orientation val="minMax"/>
        </c:scaling>
        <c:delete val="1"/>
        <c:axPos val="l"/>
        <c:numFmt formatCode="0.00" sourceLinked="1"/>
        <c:majorTickMark val="none"/>
        <c:minorTickMark val="none"/>
        <c:tickLblPos val="nextTo"/>
        <c:crossAx val="666583824"/>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[Book2.xlsx]Pivot Report!PivotTable8</c:name>
    <c:fmtId val="8"/>
  </c:pivotSource>
  <c:chart>
    <c:title>
      <c:tx>
        <c:rich>
          <a:bodyPr rot="0" spcFirstLastPara="1" vertOverflow="ellipsis" vert="horz" wrap="square" anchor="ctr" anchorCtr="1"/>
          <a:lstStyle/>
          <a:p>
            <a:pPr>
              <a:defRPr sz="700" b="1" i="0" u="none" strike="noStrike" kern="1200" spc="0" baseline="0">
                <a:solidFill>
                  <a:schemeClr val="tx1">
                    <a:lumMod val="65000"/>
                    <a:lumOff val="35000"/>
                  </a:schemeClr>
                </a:solidFill>
                <a:latin typeface="+mn-lt"/>
                <a:ea typeface="+mn-ea"/>
                <a:cs typeface="+mn-cs"/>
              </a:defRPr>
            </a:pPr>
            <a:r>
              <a:rPr lang="en-US" sz="700" b="1"/>
              <a:t>No. of Patients by age group group</a:t>
            </a:r>
          </a:p>
        </c:rich>
      </c:tx>
      <c:layout>
        <c:manualLayout>
          <c:xMode val="edge"/>
          <c:yMode val="edge"/>
          <c:x val="0.31190061902507182"/>
          <c:y val="0.84133998898419804"/>
        </c:manualLayout>
      </c:layout>
      <c:overlay val="0"/>
      <c:spPr>
        <a:noFill/>
        <a:ln>
          <a:noFill/>
        </a:ln>
        <a:effectLst/>
      </c:spPr>
      <c:txPr>
        <a:bodyPr rot="0" spcFirstLastPara="1" vertOverflow="ellipsis" vert="horz" wrap="square" anchor="ctr" anchorCtr="1"/>
        <a:lstStyle/>
        <a:p>
          <a:pPr>
            <a:defRPr sz="7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8888773114630168E-2"/>
          <c:y val="6.7378955834917409E-3"/>
          <c:w val="0.93888888888888888"/>
          <c:h val="0.67654746554075762"/>
        </c:manualLayout>
      </c:layout>
      <c:barChart>
        <c:barDir val="col"/>
        <c:grouping val="clustered"/>
        <c:varyColors val="0"/>
        <c:ser>
          <c:idx val="0"/>
          <c:order val="0"/>
          <c:tx>
            <c:strRef>
              <c:f>'Pivot Report'!$B$54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Report'!$A$55:$A$63</c:f>
              <c:strCache>
                <c:ptCount val="8"/>
                <c:pt idx="0">
                  <c:v>0-9</c:v>
                </c:pt>
                <c:pt idx="1">
                  <c:v>10 -19</c:v>
                </c:pt>
                <c:pt idx="2">
                  <c:v>20 -29</c:v>
                </c:pt>
                <c:pt idx="3">
                  <c:v>30 -39</c:v>
                </c:pt>
                <c:pt idx="4">
                  <c:v>40 -49</c:v>
                </c:pt>
                <c:pt idx="5">
                  <c:v>50 -59</c:v>
                </c:pt>
                <c:pt idx="6">
                  <c:v>60 -69</c:v>
                </c:pt>
                <c:pt idx="7">
                  <c:v>70 -79</c:v>
                </c:pt>
              </c:strCache>
            </c:strRef>
          </c:cat>
          <c:val>
            <c:numRef>
              <c:f>'Pivot Report'!$B$55:$B$63</c:f>
              <c:numCache>
                <c:formatCode>General</c:formatCode>
                <c:ptCount val="8"/>
                <c:pt idx="0">
                  <c:v>50</c:v>
                </c:pt>
                <c:pt idx="1">
                  <c:v>58</c:v>
                </c:pt>
                <c:pt idx="2">
                  <c:v>71</c:v>
                </c:pt>
                <c:pt idx="3">
                  <c:v>63</c:v>
                </c:pt>
                <c:pt idx="4">
                  <c:v>54</c:v>
                </c:pt>
                <c:pt idx="5">
                  <c:v>59</c:v>
                </c:pt>
                <c:pt idx="6">
                  <c:v>51</c:v>
                </c:pt>
                <c:pt idx="7">
                  <c:v>63</c:v>
                </c:pt>
              </c:numCache>
            </c:numRef>
          </c:val>
          <c:extLst>
            <c:ext xmlns:c16="http://schemas.microsoft.com/office/drawing/2014/chart" uri="{C3380CC4-5D6E-409C-BE32-E72D297353CC}">
              <c16:uniqueId val="{00000002-F959-4FF8-856C-897A7BD8E626}"/>
            </c:ext>
          </c:extLst>
        </c:ser>
        <c:dLbls>
          <c:dLblPos val="outEnd"/>
          <c:showLegendKey val="0"/>
          <c:showVal val="1"/>
          <c:showCatName val="0"/>
          <c:showSerName val="0"/>
          <c:showPercent val="0"/>
          <c:showBubbleSize val="0"/>
        </c:dLbls>
        <c:gapWidth val="149"/>
        <c:overlap val="-68"/>
        <c:axId val="1129729039"/>
        <c:axId val="1129726639"/>
      </c:barChart>
      <c:catAx>
        <c:axId val="11297290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1" i="0" u="none" strike="noStrike" kern="1200" baseline="0">
                <a:solidFill>
                  <a:schemeClr val="tx1">
                    <a:lumMod val="65000"/>
                    <a:lumOff val="35000"/>
                  </a:schemeClr>
                </a:solidFill>
                <a:latin typeface="+mn-lt"/>
                <a:ea typeface="+mn-ea"/>
                <a:cs typeface="+mn-cs"/>
              </a:defRPr>
            </a:pPr>
            <a:endParaRPr lang="en-US"/>
          </a:p>
        </c:txPr>
        <c:crossAx val="1129726639"/>
        <c:crosses val="autoZero"/>
        <c:auto val="1"/>
        <c:lblAlgn val="ctr"/>
        <c:lblOffset val="100"/>
        <c:noMultiLvlLbl val="0"/>
      </c:catAx>
      <c:valAx>
        <c:axId val="1129726639"/>
        <c:scaling>
          <c:orientation val="minMax"/>
        </c:scaling>
        <c:delete val="1"/>
        <c:axPos val="l"/>
        <c:numFmt formatCode="General" sourceLinked="1"/>
        <c:majorTickMark val="none"/>
        <c:minorTickMark val="none"/>
        <c:tickLblPos val="nextTo"/>
        <c:crossAx val="11297290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[Book2.xlsx]Pivot Report!PivotTable9</c:name>
    <c:fmtId val="13"/>
  </c:pivotSource>
  <c:chart>
    <c:autoTitleDeleted val="1"/>
    <c:pivotFmts>
      <c:pivotFmt>
        <c:idx val="0"/>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dLbl>
          <c:idx val="0"/>
          <c:layout>
            <c:manualLayout>
              <c:x val="-0.13264391951006124"/>
              <c:y val="-8.883748906386709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2"/>
          </a:solidFill>
          <a:ln>
            <a:noFill/>
          </a:ln>
          <a:effectLst>
            <a:outerShdw blurRad="317500" algn="ctr" rotWithShape="0">
              <a:prstClr val="black">
                <a:alpha val="25000"/>
              </a:prstClr>
            </a:outerShdw>
          </a:effectLst>
        </c:spPr>
        <c:dLbl>
          <c:idx val="0"/>
          <c:layout>
            <c:manualLayout>
              <c:x val="0.14931080489938758"/>
              <c:y val="5.180045202682989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a:outerShdw blurRad="317500" algn="ctr" rotWithShape="0">
              <a:prstClr val="black">
                <a:alpha val="25000"/>
              </a:prstClr>
            </a:outerShdw>
          </a:effectLst>
        </c:spPr>
        <c:dLbl>
          <c:idx val="0"/>
          <c:layout>
            <c:manualLayout>
              <c:x val="-0.13264391951006124"/>
              <c:y val="-8.883748906386709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317500" algn="ctr" rotWithShape="0">
              <a:prstClr val="black">
                <a:alpha val="25000"/>
              </a:prstClr>
            </a:outerShdw>
          </a:effectLst>
        </c:spPr>
        <c:dLbl>
          <c:idx val="0"/>
          <c:layout>
            <c:manualLayout>
              <c:x val="0.14931080489938758"/>
              <c:y val="5.180045202682989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c:spPr>
        <c:dLbl>
          <c:idx val="0"/>
          <c:layout>
            <c:manualLayout>
              <c:x val="-0.17441002498471309"/>
              <c:y val="-0.1044723938861370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manualLayout>
                  <c:w val="0.26528784073008044"/>
                  <c:h val="0.19520190695513404"/>
                </c:manualLayout>
              </c15:layout>
            </c:ext>
          </c:extLst>
        </c:dLbl>
      </c:pivotFmt>
      <c:pivotFmt>
        <c:idx val="8"/>
        <c:spPr>
          <a:solidFill>
            <a:schemeClr val="accent1"/>
          </a:solidFill>
          <a:ln>
            <a:noFill/>
          </a:ln>
          <a:effectLst/>
        </c:spPr>
        <c:dLbl>
          <c:idx val="0"/>
          <c:layout>
            <c:manualLayout>
              <c:x val="0.20723674925399221"/>
              <c:y val="5.180045202682989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manualLayout>
                  <c:w val="0.27509557573495874"/>
                  <c:h val="0.19520168709154601"/>
                </c:manualLayout>
              </c15:layout>
            </c:ext>
          </c:extLst>
        </c:dLbl>
      </c:pivotFmt>
    </c:pivotFmts>
    <c:plotArea>
      <c:layout>
        <c:manualLayout>
          <c:layoutTarget val="inner"/>
          <c:xMode val="edge"/>
          <c:yMode val="edge"/>
          <c:x val="6.4963032366949558E-2"/>
          <c:y val="0.17062983863638242"/>
          <c:w val="0.90134957386619574"/>
          <c:h val="0.82663119366112814"/>
        </c:manualLayout>
      </c:layout>
      <c:pieChart>
        <c:varyColors val="1"/>
        <c:ser>
          <c:idx val="0"/>
          <c:order val="0"/>
          <c:tx>
            <c:strRef>
              <c:f>'Pivot Report'!$B$66</c:f>
              <c:strCache>
                <c:ptCount val="1"/>
                <c:pt idx="0">
                  <c:v>Total</c:v>
                </c:pt>
              </c:strCache>
            </c:strRef>
          </c:tx>
          <c:spPr>
            <a:effectLst/>
          </c:spPr>
          <c:dPt>
            <c:idx val="0"/>
            <c:bubble3D val="0"/>
            <c:spPr>
              <a:solidFill>
                <a:schemeClr val="accent1"/>
              </a:solidFill>
              <a:ln>
                <a:noFill/>
              </a:ln>
              <a:effectLst/>
            </c:spPr>
          </c:dPt>
          <c:dPt>
            <c:idx val="1"/>
            <c:bubble3D val="0"/>
            <c:spPr>
              <a:solidFill>
                <a:schemeClr val="accent2"/>
              </a:solidFill>
              <a:ln>
                <a:noFill/>
              </a:ln>
              <a:effectLst/>
            </c:spPr>
          </c:dPt>
          <c:dLbls>
            <c:dLbl>
              <c:idx val="0"/>
              <c:layout>
                <c:manualLayout>
                  <c:x val="-0.17441002498471309"/>
                  <c:y val="-0.10447239388613706"/>
                </c:manualLayout>
              </c:layout>
              <c:dLblPos val="bestFit"/>
              <c:showLegendKey val="0"/>
              <c:showVal val="0"/>
              <c:showCatName val="0"/>
              <c:showSerName val="0"/>
              <c:showPercent val="1"/>
              <c:showBubbleSize val="0"/>
              <c:extLst>
                <c:ext xmlns:c15="http://schemas.microsoft.com/office/drawing/2012/chart" uri="{CE6537A1-D6FC-4f65-9D91-7224C49458BB}">
                  <c15:layout>
                    <c:manualLayout>
                      <c:w val="0.26528784073008044"/>
                      <c:h val="0.19520190695513404"/>
                    </c:manualLayout>
                  </c15:layout>
                </c:ext>
              </c:extLst>
            </c:dLbl>
            <c:dLbl>
              <c:idx val="1"/>
              <c:layout>
                <c:manualLayout>
                  <c:x val="0.20723674925399221"/>
                  <c:y val="5.1800452026829896E-2"/>
                </c:manualLayout>
              </c:layout>
              <c:dLblPos val="bestFit"/>
              <c:showLegendKey val="0"/>
              <c:showVal val="0"/>
              <c:showCatName val="0"/>
              <c:showSerName val="0"/>
              <c:showPercent val="1"/>
              <c:showBubbleSize val="0"/>
              <c:extLst>
                <c:ext xmlns:c15="http://schemas.microsoft.com/office/drawing/2012/chart" uri="{CE6537A1-D6FC-4f65-9D91-7224C49458BB}">
                  <c15:layout>
                    <c:manualLayout>
                      <c:w val="0.27509557573495874"/>
                      <c:h val="0.19520168709154601"/>
                    </c:manualLayout>
                  </c15:layout>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Report'!$A$67:$A$69</c:f>
              <c:strCache>
                <c:ptCount val="2"/>
                <c:pt idx="0">
                  <c:v>Delay</c:v>
                </c:pt>
                <c:pt idx="1">
                  <c:v>Ontime</c:v>
                </c:pt>
              </c:strCache>
            </c:strRef>
          </c:cat>
          <c:val>
            <c:numRef>
              <c:f>'Pivot Report'!$B$67:$B$69</c:f>
              <c:numCache>
                <c:formatCode>General</c:formatCode>
                <c:ptCount val="2"/>
                <c:pt idx="0">
                  <c:v>268</c:v>
                </c:pt>
                <c:pt idx="1">
                  <c:v>201</c:v>
                </c:pt>
              </c:numCache>
            </c:numRef>
          </c:val>
          <c:extLst>
            <c:ext xmlns:c16="http://schemas.microsoft.com/office/drawing/2014/chart" uri="{C3380CC4-5D6E-409C-BE32-E72D297353CC}">
              <c16:uniqueId val="{00000006-D122-47B2-97EF-393A53B6804A}"/>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14225815814570636"/>
          <c:y val="5.1420210823161665E-2"/>
          <c:w val="0.77098374743071307"/>
          <c:h val="0.14803154709168317"/>
        </c:manualLayout>
      </c:layout>
      <c:overlay val="0"/>
      <c:spPr>
        <a:noFill/>
        <a:ln>
          <a:noFill/>
        </a:ln>
        <a:effectLst/>
      </c:spPr>
      <c:txPr>
        <a:bodyPr rot="0" spcFirstLastPara="1" vertOverflow="ellipsis" vert="horz" wrap="square" anchor="ctr" anchorCtr="1"/>
        <a:lstStyle/>
        <a:p>
          <a:pPr>
            <a:defRPr sz="800" b="1"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[Book2.xlsx]Pivot Report!PivotTable10</c:name>
    <c:fmtId val="18"/>
  </c:pivotSource>
  <c:chart>
    <c:autoTitleDeleted val="1"/>
    <c:pivotFmts>
      <c:pivotFmt>
        <c:idx val="0"/>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4.7483380816714148E-3"/>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4.7483380816714148E-3"/>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1.000241600254167E-2"/>
              <c:y val="3.8711135955057918E-7"/>
            </c:manualLayout>
          </c:layout>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22182295665757631"/>
                  <c:h val="0.22152912083913351"/>
                </c:manualLayout>
              </c15:layout>
            </c:ext>
          </c:extLst>
        </c:dLbl>
      </c:pivotFmt>
      <c:pivotFmt>
        <c:idx val="7"/>
        <c:spPr>
          <a:solidFill>
            <a:schemeClr val="accent1"/>
          </a:solidFill>
          <a:ln w="19050">
            <a:solidFill>
              <a:schemeClr val="lt1"/>
            </a:solidFill>
          </a:ln>
          <a:effectLst/>
        </c:spPr>
        <c:dLbl>
          <c:idx val="0"/>
          <c:layout>
            <c:manualLayout>
              <c:x val="1.0507956260425217E-2"/>
              <c:y val="0"/>
            </c:manualLayout>
          </c:layout>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4135600624851069"/>
          <c:y val="0.22181171213160547"/>
          <c:w val="0.69710534920508671"/>
          <c:h val="0.89434249984410696"/>
        </c:manualLayout>
      </c:layout>
      <c:doughnutChart>
        <c:varyColors val="1"/>
        <c:ser>
          <c:idx val="0"/>
          <c:order val="0"/>
          <c:tx>
            <c:strRef>
              <c:f>'Pivot Report'!$B$74</c:f>
              <c:strCache>
                <c:ptCount val="1"/>
                <c:pt idx="0">
                  <c:v>Total</c:v>
                </c:pt>
              </c:strCache>
            </c:strRef>
          </c:tx>
          <c:spPr>
            <a:effectLst/>
          </c:spPr>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Lbls>
            <c:dLbl>
              <c:idx val="0"/>
              <c:layout>
                <c:manualLayout>
                  <c:x val="1.000241600254167E-2"/>
                  <c:y val="3.8711135955057918E-7"/>
                </c:manualLayout>
              </c:layout>
              <c:showLegendKey val="0"/>
              <c:showVal val="0"/>
              <c:showCatName val="0"/>
              <c:showSerName val="0"/>
              <c:showPercent val="1"/>
              <c:showBubbleSize val="0"/>
              <c:extLst>
                <c:ext xmlns:c15="http://schemas.microsoft.com/office/drawing/2012/chart" uri="{CE6537A1-D6FC-4f65-9D91-7224C49458BB}">
                  <c15:layout>
                    <c:manualLayout>
                      <c:w val="0.22182295665757631"/>
                      <c:h val="0.22152912083913351"/>
                    </c:manualLayout>
                  </c15:layout>
                </c:ext>
              </c:extLst>
            </c:dLbl>
            <c:dLbl>
              <c:idx val="1"/>
              <c:layout>
                <c:manualLayout>
                  <c:x val="1.0507956260425217E-2"/>
                  <c:y val="0"/>
                </c:manualLayout>
              </c:layout>
              <c:showLegendKey val="0"/>
              <c:showVal val="0"/>
              <c:showCatName val="0"/>
              <c:showSerName val="0"/>
              <c:showPercent val="1"/>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Report'!$A$75:$A$77</c:f>
              <c:strCache>
                <c:ptCount val="2"/>
                <c:pt idx="0">
                  <c:v>Female</c:v>
                </c:pt>
                <c:pt idx="1">
                  <c:v>Male</c:v>
                </c:pt>
              </c:strCache>
            </c:strRef>
          </c:cat>
          <c:val>
            <c:numRef>
              <c:f>'Pivot Report'!$B$75:$B$77</c:f>
              <c:numCache>
                <c:formatCode>General</c:formatCode>
                <c:ptCount val="2"/>
                <c:pt idx="0">
                  <c:v>241</c:v>
                </c:pt>
                <c:pt idx="1">
                  <c:v>228</c:v>
                </c:pt>
              </c:numCache>
            </c:numRef>
          </c:val>
          <c:extLst>
            <c:ext xmlns:c16="http://schemas.microsoft.com/office/drawing/2014/chart" uri="{C3380CC4-5D6E-409C-BE32-E72D297353CC}">
              <c16:uniqueId val="{00000006-183F-410A-AA74-542F6EC36E3B}"/>
            </c:ext>
          </c:extLst>
        </c:ser>
        <c:dLbls>
          <c:showLegendKey val="0"/>
          <c:showVal val="0"/>
          <c:showCatName val="0"/>
          <c:showSerName val="0"/>
          <c:showPercent val="1"/>
          <c:showBubbleSize val="0"/>
          <c:showLeaderLines val="1"/>
        </c:dLbls>
        <c:firstSliceAng val="0"/>
        <c:holeSize val="56"/>
      </c:doughnutChart>
      <c:spPr>
        <a:noFill/>
        <a:ln>
          <a:noFill/>
        </a:ln>
        <a:effectLst/>
      </c:spPr>
    </c:plotArea>
    <c:legend>
      <c:legendPos val="r"/>
      <c:layout>
        <c:manualLayout>
          <c:xMode val="edge"/>
          <c:yMode val="edge"/>
          <c:x val="7.1936194294736494E-2"/>
          <c:y val="5.9073193406514818E-2"/>
          <c:w val="0.8119966001188057"/>
          <c:h val="0.16653555976686807"/>
        </c:manualLayout>
      </c:layout>
      <c:overlay val="0"/>
      <c:spPr>
        <a:noFill/>
        <a:ln>
          <a:noFill/>
        </a:ln>
        <a:effectLst/>
      </c:spPr>
      <c:txPr>
        <a:bodyPr rot="0" spcFirstLastPara="1" vertOverflow="ellipsis" vert="horz" wrap="square" anchor="ctr" anchorCtr="1"/>
        <a:lstStyle/>
        <a:p>
          <a:pPr>
            <a:defRPr sz="8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[Book2.xlsx]Pivot Report!PivotTable11</c:name>
    <c:fmtId val="2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Report'!$B$81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Report'!$A$82:$A$90</c:f>
              <c:strCache>
                <c:ptCount val="8"/>
                <c:pt idx="0">
                  <c:v>Renal</c:v>
                </c:pt>
                <c:pt idx="1">
                  <c:v>Gastroenterology</c:v>
                </c:pt>
                <c:pt idx="2">
                  <c:v>Neurology</c:v>
                </c:pt>
                <c:pt idx="3">
                  <c:v>Cardiology</c:v>
                </c:pt>
                <c:pt idx="4">
                  <c:v>Physiotherapy</c:v>
                </c:pt>
                <c:pt idx="5">
                  <c:v>Orthopedics</c:v>
                </c:pt>
                <c:pt idx="6">
                  <c:v>General Practice</c:v>
                </c:pt>
                <c:pt idx="7">
                  <c:v>None</c:v>
                </c:pt>
              </c:strCache>
            </c:strRef>
          </c:cat>
          <c:val>
            <c:numRef>
              <c:f>'Pivot Report'!$B$82:$B$90</c:f>
              <c:numCache>
                <c:formatCode>General</c:formatCode>
                <c:ptCount val="8"/>
                <c:pt idx="0">
                  <c:v>3</c:v>
                </c:pt>
                <c:pt idx="1">
                  <c:v>8</c:v>
                </c:pt>
                <c:pt idx="2">
                  <c:v>10</c:v>
                </c:pt>
                <c:pt idx="3">
                  <c:v>13</c:v>
                </c:pt>
                <c:pt idx="4">
                  <c:v>15</c:v>
                </c:pt>
                <c:pt idx="5">
                  <c:v>44</c:v>
                </c:pt>
                <c:pt idx="6">
                  <c:v>92</c:v>
                </c:pt>
                <c:pt idx="7">
                  <c:v>284</c:v>
                </c:pt>
              </c:numCache>
            </c:numRef>
          </c:val>
          <c:extLst>
            <c:ext xmlns:c16="http://schemas.microsoft.com/office/drawing/2014/chart" uri="{C3380CC4-5D6E-409C-BE32-E72D297353CC}">
              <c16:uniqueId val="{00000002-38D6-4B66-ACB2-F38049808322}"/>
            </c:ext>
          </c:extLst>
        </c:ser>
        <c:dLbls>
          <c:showLegendKey val="0"/>
          <c:showVal val="0"/>
          <c:showCatName val="0"/>
          <c:showSerName val="0"/>
          <c:showPercent val="0"/>
          <c:showBubbleSize val="0"/>
        </c:dLbls>
        <c:gapWidth val="131"/>
        <c:axId val="1817012575"/>
        <c:axId val="1817009695"/>
      </c:barChart>
      <c:catAx>
        <c:axId val="18170125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1" i="0" u="none" strike="noStrike" kern="1200" baseline="0">
                <a:solidFill>
                  <a:schemeClr val="tx1">
                    <a:lumMod val="65000"/>
                    <a:lumOff val="35000"/>
                  </a:schemeClr>
                </a:solidFill>
                <a:latin typeface="+mn-lt"/>
                <a:ea typeface="+mn-ea"/>
                <a:cs typeface="+mn-cs"/>
              </a:defRPr>
            </a:pPr>
            <a:endParaRPr lang="en-US"/>
          </a:p>
        </c:txPr>
        <c:crossAx val="1817009695"/>
        <c:crosses val="autoZero"/>
        <c:auto val="1"/>
        <c:lblAlgn val="ctr"/>
        <c:lblOffset val="100"/>
        <c:noMultiLvlLbl val="0"/>
      </c:catAx>
      <c:valAx>
        <c:axId val="1817009695"/>
        <c:scaling>
          <c:orientation val="minMax"/>
        </c:scaling>
        <c:delete val="1"/>
        <c:axPos val="b"/>
        <c:numFmt formatCode="General" sourceLinked="1"/>
        <c:majorTickMark val="none"/>
        <c:minorTickMark val="none"/>
        <c:tickLblPos val="nextTo"/>
        <c:crossAx val="18170125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[Book2.xlsx]Pivot Report!PivotTable6</c:name>
    <c:fmtId val="21"/>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3782712217976012E-2"/>
          <c:y val="5.9523809523809521E-3"/>
          <c:w val="0.9407455735378355"/>
          <c:h val="0.85685625234345708"/>
        </c:manualLayout>
      </c:layout>
      <c:areaChart>
        <c:grouping val="standard"/>
        <c:varyColors val="0"/>
        <c:ser>
          <c:idx val="0"/>
          <c:order val="0"/>
          <c:tx>
            <c:strRef>
              <c:f>'Pivot Report'!$M$5</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Report'!$L$6:$L$36</c:f>
              <c:strCache>
                <c:ptCount val="30"/>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'Pivot Report'!$M$6:$M$36</c:f>
              <c:numCache>
                <c:formatCode>0.00</c:formatCode>
                <c:ptCount val="30"/>
                <c:pt idx="0">
                  <c:v>3.8</c:v>
                </c:pt>
                <c:pt idx="1">
                  <c:v>6</c:v>
                </c:pt>
                <c:pt idx="2">
                  <c:v>4.5999999999999996</c:v>
                </c:pt>
                <c:pt idx="3">
                  <c:v>5.7142857142857144</c:v>
                </c:pt>
                <c:pt idx="4">
                  <c:v>4.666666666666667</c:v>
                </c:pt>
                <c:pt idx="5">
                  <c:v>3.4</c:v>
                </c:pt>
                <c:pt idx="6">
                  <c:v>5</c:v>
                </c:pt>
                <c:pt idx="7">
                  <c:v>5.8571428571428568</c:v>
                </c:pt>
                <c:pt idx="8">
                  <c:v>4.8888888888888893</c:v>
                </c:pt>
                <c:pt idx="9">
                  <c:v>6</c:v>
                </c:pt>
                <c:pt idx="10">
                  <c:v>4.7142857142857144</c:v>
                </c:pt>
                <c:pt idx="11">
                  <c:v>7.1428571428571432</c:v>
                </c:pt>
                <c:pt idx="12">
                  <c:v>4.333333333333333</c:v>
                </c:pt>
                <c:pt idx="13">
                  <c:v>6.7333333333333334</c:v>
                </c:pt>
                <c:pt idx="14">
                  <c:v>5.2857142857142856</c:v>
                </c:pt>
                <c:pt idx="15">
                  <c:v>4.916666666666667</c:v>
                </c:pt>
                <c:pt idx="16">
                  <c:v>4.333333333333333</c:v>
                </c:pt>
                <c:pt idx="17">
                  <c:v>5.333333333333333</c:v>
                </c:pt>
                <c:pt idx="18">
                  <c:v>4.3636363636363633</c:v>
                </c:pt>
                <c:pt idx="19">
                  <c:v>2.9090909090909092</c:v>
                </c:pt>
                <c:pt idx="20">
                  <c:v>4.5</c:v>
                </c:pt>
                <c:pt idx="21">
                  <c:v>6.1</c:v>
                </c:pt>
                <c:pt idx="22">
                  <c:v>6.666666666666667</c:v>
                </c:pt>
                <c:pt idx="23">
                  <c:v>5</c:v>
                </c:pt>
                <c:pt idx="24">
                  <c:v>2.5555555555555554</c:v>
                </c:pt>
                <c:pt idx="25">
                  <c:v>5.5714285714285712</c:v>
                </c:pt>
                <c:pt idx="26">
                  <c:v>4.8461538461538458</c:v>
                </c:pt>
                <c:pt idx="27">
                  <c:v>4.8888888888888893</c:v>
                </c:pt>
                <c:pt idx="28">
                  <c:v>4.8</c:v>
                </c:pt>
                <c:pt idx="29">
                  <c:v>5.375</c:v>
                </c:pt>
              </c:numCache>
            </c:numRef>
          </c:val>
          <c:extLst>
            <c:ext xmlns:c16="http://schemas.microsoft.com/office/drawing/2014/chart" uri="{C3380CC4-5D6E-409C-BE32-E72D297353CC}">
              <c16:uniqueId val="{00000000-0909-4231-8472-321F0AEA5006}"/>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613470704"/>
        <c:axId val="613468784"/>
      </c:areaChart>
      <c:catAx>
        <c:axId val="613470704"/>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613468784"/>
        <c:crosses val="autoZero"/>
        <c:auto val="1"/>
        <c:lblAlgn val="ctr"/>
        <c:lblOffset val="100"/>
        <c:noMultiLvlLbl val="0"/>
      </c:catAx>
      <c:valAx>
        <c:axId val="613468784"/>
        <c:scaling>
          <c:orientation val="minMax"/>
        </c:scaling>
        <c:delete val="1"/>
        <c:axPos val="l"/>
        <c:numFmt formatCode="0.00" sourceLinked="1"/>
        <c:majorTickMark val="out"/>
        <c:minorTickMark val="none"/>
        <c:tickLblPos val="nextTo"/>
        <c:crossAx val="613470704"/>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hyperlink" Target="#Dashboard!A1"/><Relationship Id="rId1" Type="http://schemas.openxmlformats.org/officeDocument/2006/relationships/chart" Target="../charts/chart2.xml"/><Relationship Id="rId4" Type="http://schemas.openxmlformats.org/officeDocument/2006/relationships/image" Target="../media/image2.svg"/></Relationships>
</file>

<file path=xl/drawings/_rels/drawing3.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hyperlink" Target="#Dashboard!A1"/><Relationship Id="rId1" Type="http://schemas.openxmlformats.org/officeDocument/2006/relationships/chart" Target="../charts/chart3.xml"/><Relationship Id="rId4" Type="http://schemas.openxmlformats.org/officeDocument/2006/relationships/image" Target="../media/image3.svg"/></Relationships>
</file>

<file path=xl/drawings/_rels/drawing4.xml.rels><?xml version="1.0" encoding="UTF-8" standalone="yes"?>
<Relationships xmlns="http://schemas.openxmlformats.org/package/2006/relationships"><Relationship Id="rId8" Type="http://schemas.openxmlformats.org/officeDocument/2006/relationships/hyperlink" Target="#'Daily ER no. of patients'!A1"/><Relationship Id="rId13" Type="http://schemas.openxmlformats.org/officeDocument/2006/relationships/chart" Target="../charts/chart6.xml"/><Relationship Id="rId18" Type="http://schemas.openxmlformats.org/officeDocument/2006/relationships/chart" Target="../charts/chart10.xml"/><Relationship Id="rId3" Type="http://schemas.openxmlformats.org/officeDocument/2006/relationships/image" Target="../media/image6.svg"/><Relationship Id="rId7" Type="http://schemas.openxmlformats.org/officeDocument/2006/relationships/image" Target="../media/image10.svg"/><Relationship Id="rId12" Type="http://schemas.openxmlformats.org/officeDocument/2006/relationships/hyperlink" Target="#'Satisfaction Score Daily Trend'!A1"/><Relationship Id="rId17" Type="http://schemas.openxmlformats.org/officeDocument/2006/relationships/chart" Target="../charts/chart9.xml"/><Relationship Id="rId2" Type="http://schemas.openxmlformats.org/officeDocument/2006/relationships/image" Target="../media/image5.png"/><Relationship Id="rId16" Type="http://schemas.openxmlformats.org/officeDocument/2006/relationships/chart" Target="../charts/chart8.xml"/><Relationship Id="rId1" Type="http://schemas.openxmlformats.org/officeDocument/2006/relationships/image" Target="../media/image4.png"/><Relationship Id="rId6" Type="http://schemas.openxmlformats.org/officeDocument/2006/relationships/image" Target="../media/image9.png"/><Relationship Id="rId11" Type="http://schemas.openxmlformats.org/officeDocument/2006/relationships/chart" Target="../charts/chart5.xml"/><Relationship Id="rId5" Type="http://schemas.openxmlformats.org/officeDocument/2006/relationships/image" Target="../media/image8.svg"/><Relationship Id="rId15" Type="http://schemas.openxmlformats.org/officeDocument/2006/relationships/chart" Target="../charts/chart7.xml"/><Relationship Id="rId10" Type="http://schemas.openxmlformats.org/officeDocument/2006/relationships/hyperlink" Target="#'Average of patient waitTime'!A1"/><Relationship Id="rId4" Type="http://schemas.openxmlformats.org/officeDocument/2006/relationships/image" Target="../media/image7.png"/><Relationship Id="rId9" Type="http://schemas.openxmlformats.org/officeDocument/2006/relationships/chart" Target="../charts/chart4.xml"/><Relationship Id="rId14" Type="http://schemas.openxmlformats.org/officeDocument/2006/relationships/image" Target="../media/image11.emf"/></Relationships>
</file>

<file path=xl/drawings/_rels/drawing5.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6.xml.rels><?xml version="1.0" encoding="UTF-8" standalone="yes"?>
<Relationships xmlns="http://schemas.openxmlformats.org/package/2006/relationships"><Relationship Id="rId3" Type="http://schemas.openxmlformats.org/officeDocument/2006/relationships/image" Target="../media/image3.svg"/><Relationship Id="rId2" Type="http://schemas.openxmlformats.org/officeDocument/2006/relationships/image" Target="../media/image1.png"/><Relationship Id="rId1" Type="http://schemas.openxmlformats.org/officeDocument/2006/relationships/hyperlink" Target="#Dashboard!A1"/></Relationships>
</file>

<file path=xl/drawings/_rels/vmlDrawing1.vml.rels><?xml version="1.0" encoding="UTF-8" standalone="yes"?>
<Relationships xmlns="http://schemas.openxmlformats.org/package/2006/relationships"><Relationship Id="rId1" Type="http://schemas.openxmlformats.org/officeDocument/2006/relationships/image" Target="../media/image12.png"/></Relationships>
</file>

<file path=xl/drawings/drawing1.xml><?xml version="1.0" encoding="utf-8"?>
<xdr:wsDr xmlns:xdr="http://schemas.openxmlformats.org/drawingml/2006/spreadsheetDrawing" xmlns:a="http://schemas.openxmlformats.org/drawingml/2006/main">
  <xdr:twoCellAnchor>
    <xdr:from>
      <xdr:col>3</xdr:col>
      <xdr:colOff>22860</xdr:colOff>
      <xdr:row>48</xdr:row>
      <xdr:rowOff>22860</xdr:rowOff>
    </xdr:from>
    <xdr:to>
      <xdr:col>3</xdr:col>
      <xdr:colOff>1295400</xdr:colOff>
      <xdr:row>49</xdr:row>
      <xdr:rowOff>175260</xdr:rowOff>
    </xdr:to>
    <xdr:graphicFrame macro="">
      <xdr:nvGraphicFramePr>
        <xdr:cNvPr id="8" name="Chart 7">
          <a:extLst>
            <a:ext uri="{FF2B5EF4-FFF2-40B4-BE49-F238E27FC236}">
              <a16:creationId xmlns:a16="http://schemas.microsoft.com/office/drawing/2014/main" id="{E73C50E5-C58D-CB63-EF34-D2BBA4885F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220980</xdr:colOff>
      <xdr:row>2</xdr:row>
      <xdr:rowOff>60960</xdr:rowOff>
    </xdr:from>
    <xdr:to>
      <xdr:col>17</xdr:col>
      <xdr:colOff>304800</xdr:colOff>
      <xdr:row>23</xdr:row>
      <xdr:rowOff>144780</xdr:rowOff>
    </xdr:to>
    <xdr:graphicFrame macro="">
      <xdr:nvGraphicFramePr>
        <xdr:cNvPr id="2" name="Chart 1">
          <a:extLst>
            <a:ext uri="{FF2B5EF4-FFF2-40B4-BE49-F238E27FC236}">
              <a16:creationId xmlns:a16="http://schemas.microsoft.com/office/drawing/2014/main" id="{BF7B0FB6-317A-48F4-97F7-C6502D7D77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213360</xdr:colOff>
      <xdr:row>2</xdr:row>
      <xdr:rowOff>60960</xdr:rowOff>
    </xdr:from>
    <xdr:to>
      <xdr:col>2</xdr:col>
      <xdr:colOff>60960</xdr:colOff>
      <xdr:row>4</xdr:row>
      <xdr:rowOff>152400</xdr:rowOff>
    </xdr:to>
    <xdr:pic>
      <xdr:nvPicPr>
        <xdr:cNvPr id="4" name="Graphic 3" descr="Home with solid fill">
          <a:hlinkClick xmlns:r="http://schemas.openxmlformats.org/officeDocument/2006/relationships" r:id="rId2"/>
          <a:extLst>
            <a:ext uri="{FF2B5EF4-FFF2-40B4-BE49-F238E27FC236}">
              <a16:creationId xmlns:a16="http://schemas.microsoft.com/office/drawing/2014/main" id="{F52BD66C-A6CC-B04C-0385-B293EFE24507}"/>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822960" y="426720"/>
          <a:ext cx="457200" cy="457200"/>
        </a:xfrm>
        <a:prstGeom prst="rect">
          <a:avLst/>
        </a:prstGeom>
      </xdr:spPr>
    </xdr:pic>
    <xdr:clientData/>
  </xdr:twoCellAnchor>
  <xdr:twoCellAnchor>
    <xdr:from>
      <xdr:col>1</xdr:col>
      <xdr:colOff>190500</xdr:colOff>
      <xdr:row>24</xdr:row>
      <xdr:rowOff>7620</xdr:rowOff>
    </xdr:from>
    <xdr:to>
      <xdr:col>17</xdr:col>
      <xdr:colOff>342900</xdr:colOff>
      <xdr:row>25</xdr:row>
      <xdr:rowOff>106680</xdr:rowOff>
    </xdr:to>
    <xdr:sp macro="" textlink="">
      <xdr:nvSpPr>
        <xdr:cNvPr id="5" name="TextBox 4">
          <a:extLst>
            <a:ext uri="{FF2B5EF4-FFF2-40B4-BE49-F238E27FC236}">
              <a16:creationId xmlns:a16="http://schemas.microsoft.com/office/drawing/2014/main" id="{668291EA-FCCC-2A2D-1054-ACCDA95FF681}"/>
            </a:ext>
          </a:extLst>
        </xdr:cNvPr>
        <xdr:cNvSpPr txBox="1"/>
      </xdr:nvSpPr>
      <xdr:spPr>
        <a:xfrm>
          <a:off x="800100" y="4396740"/>
          <a:ext cx="9906000" cy="281940"/>
        </a:xfrm>
        <a:prstGeom prst="rect">
          <a:avLst/>
        </a:prstGeom>
        <a:solidFill>
          <a:schemeClr val="bg1">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a:t>Used an</a:t>
          </a:r>
          <a:r>
            <a:rPr lang="en-IN" sz="1600" baseline="0"/>
            <a:t> area chart to track daily changes and highlight days with longer wait times that might need impropvements.</a:t>
          </a:r>
          <a:endParaRPr lang="en-IN" sz="16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525780</xdr:colOff>
      <xdr:row>2</xdr:row>
      <xdr:rowOff>175260</xdr:rowOff>
    </xdr:from>
    <xdr:to>
      <xdr:col>16</xdr:col>
      <xdr:colOff>114300</xdr:colOff>
      <xdr:row>22</xdr:row>
      <xdr:rowOff>121920</xdr:rowOff>
    </xdr:to>
    <xdr:graphicFrame macro="">
      <xdr:nvGraphicFramePr>
        <xdr:cNvPr id="3" name="Chart 2">
          <a:extLst>
            <a:ext uri="{FF2B5EF4-FFF2-40B4-BE49-F238E27FC236}">
              <a16:creationId xmlns:a16="http://schemas.microsoft.com/office/drawing/2014/main" id="{7C195A96-1AF1-4CDD-9683-C8A4AB8A47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518160</xdr:colOff>
      <xdr:row>22</xdr:row>
      <xdr:rowOff>121920</xdr:rowOff>
    </xdr:from>
    <xdr:to>
      <xdr:col>16</xdr:col>
      <xdr:colOff>121920</xdr:colOff>
      <xdr:row>24</xdr:row>
      <xdr:rowOff>121920</xdr:rowOff>
    </xdr:to>
    <xdr:sp macro="" textlink="">
      <xdr:nvSpPr>
        <xdr:cNvPr id="4" name="TextBox 3">
          <a:extLst>
            <a:ext uri="{FF2B5EF4-FFF2-40B4-BE49-F238E27FC236}">
              <a16:creationId xmlns:a16="http://schemas.microsoft.com/office/drawing/2014/main" id="{CF5DC112-CC5D-71AC-671C-FB3326A5E353}"/>
            </a:ext>
          </a:extLst>
        </xdr:cNvPr>
        <xdr:cNvSpPr txBox="1"/>
      </xdr:nvSpPr>
      <xdr:spPr>
        <a:xfrm>
          <a:off x="1127760" y="4145280"/>
          <a:ext cx="8747760" cy="365760"/>
        </a:xfrm>
        <a:prstGeom prst="rect">
          <a:avLst/>
        </a:prstGeom>
        <a:solidFill>
          <a:schemeClr val="bg1">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a:t>Showing a daily trend with</a:t>
          </a:r>
          <a:r>
            <a:rPr lang="en-IN" sz="1600" baseline="0"/>
            <a:t> an areasparkline to spot patterns like busy days or seasonal trends</a:t>
          </a:r>
          <a:endParaRPr lang="en-IN" sz="1600"/>
        </a:p>
      </xdr:txBody>
    </xdr:sp>
    <xdr:clientData/>
  </xdr:twoCellAnchor>
  <xdr:twoCellAnchor editAs="oneCell">
    <xdr:from>
      <xdr:col>1</xdr:col>
      <xdr:colOff>571500</xdr:colOff>
      <xdr:row>3</xdr:row>
      <xdr:rowOff>30480</xdr:rowOff>
    </xdr:from>
    <xdr:to>
      <xdr:col>2</xdr:col>
      <xdr:colOff>358140</xdr:colOff>
      <xdr:row>5</xdr:row>
      <xdr:rowOff>60960</xdr:rowOff>
    </xdr:to>
    <xdr:pic>
      <xdr:nvPicPr>
        <xdr:cNvPr id="6" name="Graphic 5" descr="Home with solid fill">
          <a:hlinkClick xmlns:r="http://schemas.openxmlformats.org/officeDocument/2006/relationships" r:id="rId2"/>
          <a:extLst>
            <a:ext uri="{FF2B5EF4-FFF2-40B4-BE49-F238E27FC236}">
              <a16:creationId xmlns:a16="http://schemas.microsoft.com/office/drawing/2014/main" id="{D95ADB08-60FF-9D78-C6AF-967D6E1BD4BC}"/>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181100" y="579120"/>
          <a:ext cx="396240" cy="39624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absolute">
    <xdr:from>
      <xdr:col>0</xdr:col>
      <xdr:colOff>58744</xdr:colOff>
      <xdr:row>0</xdr:row>
      <xdr:rowOff>86036</xdr:rowOff>
    </xdr:from>
    <xdr:to>
      <xdr:col>5</xdr:col>
      <xdr:colOff>10809</xdr:colOff>
      <xdr:row>3</xdr:row>
      <xdr:rowOff>32426</xdr:rowOff>
    </xdr:to>
    <xdr:sp macro="" textlink="">
      <xdr:nvSpPr>
        <xdr:cNvPr id="2" name="Rectangle: Rounded Corners 1">
          <a:extLst>
            <a:ext uri="{FF2B5EF4-FFF2-40B4-BE49-F238E27FC236}">
              <a16:creationId xmlns:a16="http://schemas.microsoft.com/office/drawing/2014/main" id="{A94CF95A-3D32-4268-8DC0-687935B32351}"/>
            </a:ext>
          </a:extLst>
        </xdr:cNvPr>
        <xdr:cNvSpPr/>
      </xdr:nvSpPr>
      <xdr:spPr>
        <a:xfrm>
          <a:off x="58744" y="86036"/>
          <a:ext cx="3005469" cy="497624"/>
        </a:xfrm>
        <a:prstGeom prst="roundRect">
          <a:avLst>
            <a:gd name="adj" fmla="val 15248"/>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editAs="absolute">
    <xdr:from>
      <xdr:col>5</xdr:col>
      <xdr:colOff>37128</xdr:colOff>
      <xdr:row>0</xdr:row>
      <xdr:rowOff>91440</xdr:rowOff>
    </xdr:from>
    <xdr:to>
      <xdr:col>7</xdr:col>
      <xdr:colOff>54043</xdr:colOff>
      <xdr:row>3</xdr:row>
      <xdr:rowOff>37830</xdr:rowOff>
    </xdr:to>
    <xdr:sp macro="" textlink="">
      <xdr:nvSpPr>
        <xdr:cNvPr id="3" name="Rectangle: Rounded Corners 2">
          <a:extLst>
            <a:ext uri="{FF2B5EF4-FFF2-40B4-BE49-F238E27FC236}">
              <a16:creationId xmlns:a16="http://schemas.microsoft.com/office/drawing/2014/main" id="{B379F988-4070-449C-AC05-1B54C0E268B0}"/>
            </a:ext>
          </a:extLst>
        </xdr:cNvPr>
        <xdr:cNvSpPr/>
      </xdr:nvSpPr>
      <xdr:spPr>
        <a:xfrm>
          <a:off x="3090532" y="91440"/>
          <a:ext cx="1238277" cy="497624"/>
        </a:xfrm>
        <a:prstGeom prst="roundRect">
          <a:avLst>
            <a:gd name="adj" fmla="val 16334"/>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editAs="absolute">
    <xdr:from>
      <xdr:col>7</xdr:col>
      <xdr:colOff>107384</xdr:colOff>
      <xdr:row>0</xdr:row>
      <xdr:rowOff>91439</xdr:rowOff>
    </xdr:from>
    <xdr:to>
      <xdr:col>9</xdr:col>
      <xdr:colOff>124299</xdr:colOff>
      <xdr:row>7</xdr:row>
      <xdr:rowOff>178340</xdr:rowOff>
    </xdr:to>
    <xdr:sp macro="" textlink="">
      <xdr:nvSpPr>
        <xdr:cNvPr id="4" name="Rectangle: Rounded Corners 3">
          <a:extLst>
            <a:ext uri="{FF2B5EF4-FFF2-40B4-BE49-F238E27FC236}">
              <a16:creationId xmlns:a16="http://schemas.microsoft.com/office/drawing/2014/main" id="{72C2E7FC-2AB2-4D21-875A-A896E931707A}"/>
            </a:ext>
          </a:extLst>
        </xdr:cNvPr>
        <xdr:cNvSpPr/>
      </xdr:nvSpPr>
      <xdr:spPr>
        <a:xfrm>
          <a:off x="4382150" y="91439"/>
          <a:ext cx="1238277" cy="1373114"/>
        </a:xfrm>
        <a:prstGeom prst="roundRect">
          <a:avLst>
            <a:gd name="adj" fmla="val 6495"/>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editAs="absolute">
    <xdr:from>
      <xdr:col>9</xdr:col>
      <xdr:colOff>177638</xdr:colOff>
      <xdr:row>0</xdr:row>
      <xdr:rowOff>80630</xdr:rowOff>
    </xdr:from>
    <xdr:to>
      <xdr:col>11</xdr:col>
      <xdr:colOff>194554</xdr:colOff>
      <xdr:row>7</xdr:row>
      <xdr:rowOff>172935</xdr:rowOff>
    </xdr:to>
    <xdr:sp macro="" textlink="">
      <xdr:nvSpPr>
        <xdr:cNvPr id="5" name="Rectangle: Rounded Corners 4">
          <a:extLst>
            <a:ext uri="{FF2B5EF4-FFF2-40B4-BE49-F238E27FC236}">
              <a16:creationId xmlns:a16="http://schemas.microsoft.com/office/drawing/2014/main" id="{8BC0815E-3493-4D49-AD95-545291BA513B}"/>
            </a:ext>
          </a:extLst>
        </xdr:cNvPr>
        <xdr:cNvSpPr/>
      </xdr:nvSpPr>
      <xdr:spPr>
        <a:xfrm>
          <a:off x="5673766" y="80630"/>
          <a:ext cx="1238277" cy="1378518"/>
        </a:xfrm>
        <a:prstGeom prst="roundRect">
          <a:avLst>
            <a:gd name="adj" fmla="val 8617"/>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editAs="absolute">
    <xdr:from>
      <xdr:col>0</xdr:col>
      <xdr:colOff>69553</xdr:colOff>
      <xdr:row>3</xdr:row>
      <xdr:rowOff>69824</xdr:rowOff>
    </xdr:from>
    <xdr:to>
      <xdr:col>1</xdr:col>
      <xdr:colOff>189148</xdr:colOff>
      <xdr:row>16</xdr:row>
      <xdr:rowOff>70255</xdr:rowOff>
    </xdr:to>
    <xdr:sp macro="" textlink="">
      <xdr:nvSpPr>
        <xdr:cNvPr id="6" name="Rectangle: Rounded Corners 5">
          <a:extLst>
            <a:ext uri="{FF2B5EF4-FFF2-40B4-BE49-F238E27FC236}">
              <a16:creationId xmlns:a16="http://schemas.microsoft.com/office/drawing/2014/main" id="{150A54FD-569A-4390-B913-9430A460A6E0}"/>
            </a:ext>
          </a:extLst>
        </xdr:cNvPr>
        <xdr:cNvSpPr/>
      </xdr:nvSpPr>
      <xdr:spPr>
        <a:xfrm>
          <a:off x="69553" y="621058"/>
          <a:ext cx="730276" cy="2389112"/>
        </a:xfrm>
        <a:prstGeom prst="roundRect">
          <a:avLst>
            <a:gd name="adj" fmla="val 12940"/>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editAs="absolute">
    <xdr:from>
      <xdr:col>3</xdr:col>
      <xdr:colOff>120590</xdr:colOff>
      <xdr:row>3</xdr:row>
      <xdr:rowOff>75227</xdr:rowOff>
    </xdr:from>
    <xdr:to>
      <xdr:col>5</xdr:col>
      <xdr:colOff>67193</xdr:colOff>
      <xdr:row>8</xdr:row>
      <xdr:rowOff>133954</xdr:rowOff>
    </xdr:to>
    <xdr:sp macro="" textlink="">
      <xdr:nvSpPr>
        <xdr:cNvPr id="9" name="Rectangle: Rounded Corners 8">
          <a:extLst>
            <a:ext uri="{FF2B5EF4-FFF2-40B4-BE49-F238E27FC236}">
              <a16:creationId xmlns:a16="http://schemas.microsoft.com/office/drawing/2014/main" id="{C0CAA122-E4CB-4866-80BE-3A62129263F9}"/>
            </a:ext>
          </a:extLst>
        </xdr:cNvPr>
        <xdr:cNvSpPr/>
      </xdr:nvSpPr>
      <xdr:spPr>
        <a:xfrm>
          <a:off x="1952633" y="626461"/>
          <a:ext cx="1167964" cy="977450"/>
        </a:xfrm>
        <a:prstGeom prst="roundRect">
          <a:avLst>
            <a:gd name="adj" fmla="val 6622"/>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editAs="absolute">
    <xdr:from>
      <xdr:col>1</xdr:col>
      <xdr:colOff>226977</xdr:colOff>
      <xdr:row>3</xdr:row>
      <xdr:rowOff>81784</xdr:rowOff>
    </xdr:from>
    <xdr:to>
      <xdr:col>3</xdr:col>
      <xdr:colOff>71847</xdr:colOff>
      <xdr:row>8</xdr:row>
      <xdr:rowOff>140511</xdr:rowOff>
    </xdr:to>
    <xdr:sp macro="" textlink="">
      <xdr:nvSpPr>
        <xdr:cNvPr id="10" name="Rectangle: Rounded Corners 9">
          <a:extLst>
            <a:ext uri="{FF2B5EF4-FFF2-40B4-BE49-F238E27FC236}">
              <a16:creationId xmlns:a16="http://schemas.microsoft.com/office/drawing/2014/main" id="{BA496CB3-CDC0-4B6C-9D3D-6407E8443F6E}"/>
            </a:ext>
          </a:extLst>
        </xdr:cNvPr>
        <xdr:cNvSpPr/>
      </xdr:nvSpPr>
      <xdr:spPr>
        <a:xfrm>
          <a:off x="837658" y="633018"/>
          <a:ext cx="1066232" cy="977450"/>
        </a:xfrm>
        <a:prstGeom prst="roundRect">
          <a:avLst>
            <a:gd name="adj" fmla="val 5282"/>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editAs="absolute">
    <xdr:from>
      <xdr:col>5</xdr:col>
      <xdr:colOff>111688</xdr:colOff>
      <xdr:row>3</xdr:row>
      <xdr:rowOff>75227</xdr:rowOff>
    </xdr:from>
    <xdr:to>
      <xdr:col>7</xdr:col>
      <xdr:colOff>54043</xdr:colOff>
      <xdr:row>8</xdr:row>
      <xdr:rowOff>133954</xdr:rowOff>
    </xdr:to>
    <xdr:sp macro="" textlink="">
      <xdr:nvSpPr>
        <xdr:cNvPr id="11" name="Rectangle: Rounded Corners 10">
          <a:extLst>
            <a:ext uri="{FF2B5EF4-FFF2-40B4-BE49-F238E27FC236}">
              <a16:creationId xmlns:a16="http://schemas.microsoft.com/office/drawing/2014/main" id="{1080B35E-55B1-48B0-8EDB-FEC02880A662}"/>
            </a:ext>
          </a:extLst>
        </xdr:cNvPr>
        <xdr:cNvSpPr/>
      </xdr:nvSpPr>
      <xdr:spPr>
        <a:xfrm>
          <a:off x="3165092" y="626461"/>
          <a:ext cx="1163717" cy="977450"/>
        </a:xfrm>
        <a:prstGeom prst="roundRect">
          <a:avLst>
            <a:gd name="adj" fmla="val 8635"/>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xdr:from>
      <xdr:col>0</xdr:col>
      <xdr:colOff>124297</xdr:colOff>
      <xdr:row>16</xdr:row>
      <xdr:rowOff>64851</xdr:rowOff>
    </xdr:from>
    <xdr:to>
      <xdr:col>11</xdr:col>
      <xdr:colOff>345873</xdr:colOff>
      <xdr:row>16</xdr:row>
      <xdr:rowOff>64851</xdr:rowOff>
    </xdr:to>
    <xdr:cxnSp macro="">
      <xdr:nvCxnSpPr>
        <xdr:cNvPr id="20" name="Straight Connector 19">
          <a:extLst>
            <a:ext uri="{FF2B5EF4-FFF2-40B4-BE49-F238E27FC236}">
              <a16:creationId xmlns:a16="http://schemas.microsoft.com/office/drawing/2014/main" id="{0ABB63E1-13DB-47E8-9616-649E2D68C0CE}"/>
            </a:ext>
          </a:extLst>
        </xdr:cNvPr>
        <xdr:cNvCxnSpPr/>
      </xdr:nvCxnSpPr>
      <xdr:spPr>
        <a:xfrm>
          <a:off x="124297" y="3004766"/>
          <a:ext cx="6939065"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189149</xdr:colOff>
      <xdr:row>1</xdr:row>
      <xdr:rowOff>10808</xdr:rowOff>
    </xdr:from>
    <xdr:to>
      <xdr:col>11</xdr:col>
      <xdr:colOff>189149</xdr:colOff>
      <xdr:row>16</xdr:row>
      <xdr:rowOff>59446</xdr:rowOff>
    </xdr:to>
    <xdr:cxnSp macro="">
      <xdr:nvCxnSpPr>
        <xdr:cNvPr id="24" name="Straight Connector 23">
          <a:extLst>
            <a:ext uri="{FF2B5EF4-FFF2-40B4-BE49-F238E27FC236}">
              <a16:creationId xmlns:a16="http://schemas.microsoft.com/office/drawing/2014/main" id="{1C4A2915-1187-48A0-8441-26E35505394F}"/>
            </a:ext>
          </a:extLst>
        </xdr:cNvPr>
        <xdr:cNvCxnSpPr/>
      </xdr:nvCxnSpPr>
      <xdr:spPr>
        <a:xfrm>
          <a:off x="6906638" y="194553"/>
          <a:ext cx="0" cy="2804808"/>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7</xdr:col>
      <xdr:colOff>140511</xdr:colOff>
      <xdr:row>8</xdr:row>
      <xdr:rowOff>15779</xdr:rowOff>
    </xdr:from>
    <xdr:to>
      <xdr:col>11</xdr:col>
      <xdr:colOff>226980</xdr:colOff>
      <xdr:row>16</xdr:row>
      <xdr:rowOff>70255</xdr:rowOff>
    </xdr:to>
    <xdr:sp macro="" textlink="">
      <xdr:nvSpPr>
        <xdr:cNvPr id="25" name="Rectangle: Rounded Corners 24">
          <a:extLst>
            <a:ext uri="{FF2B5EF4-FFF2-40B4-BE49-F238E27FC236}">
              <a16:creationId xmlns:a16="http://schemas.microsoft.com/office/drawing/2014/main" id="{E526B4BF-CBAC-4D83-9ACE-5D296C9955EC}"/>
            </a:ext>
          </a:extLst>
        </xdr:cNvPr>
        <xdr:cNvSpPr/>
      </xdr:nvSpPr>
      <xdr:spPr>
        <a:xfrm>
          <a:off x="4415277" y="1485736"/>
          <a:ext cx="2529192" cy="1524434"/>
        </a:xfrm>
        <a:prstGeom prst="roundRect">
          <a:avLst>
            <a:gd name="adj" fmla="val 8617"/>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editAs="absolute">
    <xdr:from>
      <xdr:col>1</xdr:col>
      <xdr:colOff>86469</xdr:colOff>
      <xdr:row>1</xdr:row>
      <xdr:rowOff>37828</xdr:rowOff>
    </xdr:from>
    <xdr:to>
      <xdr:col>4</xdr:col>
      <xdr:colOff>475577</xdr:colOff>
      <xdr:row>2</xdr:row>
      <xdr:rowOff>48638</xdr:rowOff>
    </xdr:to>
    <xdr:sp macro="" textlink="">
      <xdr:nvSpPr>
        <xdr:cNvPr id="27" name="TextBox 26">
          <a:extLst>
            <a:ext uri="{FF2B5EF4-FFF2-40B4-BE49-F238E27FC236}">
              <a16:creationId xmlns:a16="http://schemas.microsoft.com/office/drawing/2014/main" id="{BF386968-62AE-47C8-B224-2C686E9E2FD5}"/>
            </a:ext>
          </a:extLst>
        </xdr:cNvPr>
        <xdr:cNvSpPr txBox="1"/>
      </xdr:nvSpPr>
      <xdr:spPr>
        <a:xfrm>
          <a:off x="697150" y="221573"/>
          <a:ext cx="2221150" cy="1945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100" b="1"/>
            <a:t>Hospital Emergency Room Dashboard</a:t>
          </a:r>
        </a:p>
      </xdr:txBody>
    </xdr:sp>
    <xdr:clientData/>
  </xdr:twoCellAnchor>
  <xdr:twoCellAnchor editAs="oneCell">
    <xdr:from>
      <xdr:col>0</xdr:col>
      <xdr:colOff>81063</xdr:colOff>
      <xdr:row>0</xdr:row>
      <xdr:rowOff>59444</xdr:rowOff>
    </xdr:from>
    <xdr:to>
      <xdr:col>1</xdr:col>
      <xdr:colOff>48637</xdr:colOff>
      <xdr:row>3</xdr:row>
      <xdr:rowOff>81063</xdr:rowOff>
    </xdr:to>
    <xdr:pic>
      <xdr:nvPicPr>
        <xdr:cNvPr id="29" name="Picture 28">
          <a:extLst>
            <a:ext uri="{FF2B5EF4-FFF2-40B4-BE49-F238E27FC236}">
              <a16:creationId xmlns:a16="http://schemas.microsoft.com/office/drawing/2014/main" id="{9A152102-2BBE-433C-8C1E-93067035E243}"/>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9834" r="15707"/>
        <a:stretch/>
      </xdr:blipFill>
      <xdr:spPr>
        <a:xfrm>
          <a:off x="81063" y="59444"/>
          <a:ext cx="578255" cy="572853"/>
        </a:xfrm>
        <a:prstGeom prst="rect">
          <a:avLst/>
        </a:prstGeom>
      </xdr:spPr>
    </xdr:pic>
    <xdr:clientData/>
  </xdr:twoCellAnchor>
  <xdr:twoCellAnchor editAs="absolute">
    <xdr:from>
      <xdr:col>1</xdr:col>
      <xdr:colOff>238868</xdr:colOff>
      <xdr:row>5</xdr:row>
      <xdr:rowOff>38909</xdr:rowOff>
    </xdr:from>
    <xdr:to>
      <xdr:col>3</xdr:col>
      <xdr:colOff>75658</xdr:colOff>
      <xdr:row>6</xdr:row>
      <xdr:rowOff>49718</xdr:rowOff>
    </xdr:to>
    <xdr:sp macro="" textlink="">
      <xdr:nvSpPr>
        <xdr:cNvPr id="30" name="TextBox 29">
          <a:extLst>
            <a:ext uri="{FF2B5EF4-FFF2-40B4-BE49-F238E27FC236}">
              <a16:creationId xmlns:a16="http://schemas.microsoft.com/office/drawing/2014/main" id="{D1C8401F-EC24-4154-9AAD-6348894ACACF}"/>
            </a:ext>
          </a:extLst>
        </xdr:cNvPr>
        <xdr:cNvSpPr txBox="1"/>
      </xdr:nvSpPr>
      <xdr:spPr>
        <a:xfrm>
          <a:off x="849549" y="957632"/>
          <a:ext cx="1058152" cy="1945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900" b="1"/>
            <a:t>No.</a:t>
          </a:r>
          <a:r>
            <a:rPr lang="en-IN" sz="900" b="1" baseline="0"/>
            <a:t> of Patient</a:t>
          </a:r>
          <a:endParaRPr lang="en-IN" sz="1100" b="1"/>
        </a:p>
      </xdr:txBody>
    </xdr:sp>
    <xdr:clientData/>
  </xdr:twoCellAnchor>
  <xdr:twoCellAnchor>
    <xdr:from>
      <xdr:col>1</xdr:col>
      <xdr:colOff>562042</xdr:colOff>
      <xdr:row>3</xdr:row>
      <xdr:rowOff>172934</xdr:rowOff>
    </xdr:from>
    <xdr:to>
      <xdr:col>2</xdr:col>
      <xdr:colOff>421532</xdr:colOff>
      <xdr:row>5</xdr:row>
      <xdr:rowOff>48638</xdr:rowOff>
    </xdr:to>
    <xdr:sp macro="" textlink="'Pivot Report'!A5">
      <xdr:nvSpPr>
        <xdr:cNvPr id="7" name="TextBox 6">
          <a:extLst>
            <a:ext uri="{FF2B5EF4-FFF2-40B4-BE49-F238E27FC236}">
              <a16:creationId xmlns:a16="http://schemas.microsoft.com/office/drawing/2014/main" id="{47D859DF-C845-E4F4-297A-54D76E82A155}"/>
            </a:ext>
          </a:extLst>
        </xdr:cNvPr>
        <xdr:cNvSpPr txBox="1"/>
      </xdr:nvSpPr>
      <xdr:spPr>
        <a:xfrm>
          <a:off x="1172723" y="724168"/>
          <a:ext cx="470171" cy="243193"/>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10D32386-8760-4203-8468-B772B7FD2317}" type="TxLink">
            <a:rPr lang="en-US" sz="1100" b="1" i="0" u="none" strike="noStrike">
              <a:solidFill>
                <a:srgbClr val="000000"/>
              </a:solidFill>
              <a:latin typeface="Calibri"/>
              <a:ea typeface="Calibri"/>
              <a:cs typeface="Calibri"/>
            </a:rPr>
            <a:pPr marL="0" indent="0"/>
            <a:t>469</a:t>
          </a:fld>
          <a:endParaRPr lang="en-IN" sz="1100" b="1" i="0" u="none" strike="noStrike">
            <a:solidFill>
              <a:srgbClr val="000000"/>
            </a:solidFill>
            <a:latin typeface="Calibri"/>
            <a:ea typeface="Calibri"/>
            <a:cs typeface="Calibri"/>
          </a:endParaRPr>
        </a:p>
      </xdr:txBody>
    </xdr:sp>
    <xdr:clientData/>
  </xdr:twoCellAnchor>
  <xdr:twoCellAnchor editAs="absolute">
    <xdr:from>
      <xdr:col>3</xdr:col>
      <xdr:colOff>184826</xdr:colOff>
      <xdr:row>5</xdr:row>
      <xdr:rowOff>8650</xdr:rowOff>
    </xdr:from>
    <xdr:to>
      <xdr:col>5</xdr:col>
      <xdr:colOff>37293</xdr:colOff>
      <xdr:row>6</xdr:row>
      <xdr:rowOff>49718</xdr:rowOff>
    </xdr:to>
    <xdr:sp macro="" textlink="">
      <xdr:nvSpPr>
        <xdr:cNvPr id="8" name="TextBox 7">
          <a:extLst>
            <a:ext uri="{FF2B5EF4-FFF2-40B4-BE49-F238E27FC236}">
              <a16:creationId xmlns:a16="http://schemas.microsoft.com/office/drawing/2014/main" id="{5D7932BB-2D7B-E883-3668-A780869E4879}"/>
            </a:ext>
          </a:extLst>
        </xdr:cNvPr>
        <xdr:cNvSpPr txBox="1"/>
      </xdr:nvSpPr>
      <xdr:spPr>
        <a:xfrm>
          <a:off x="2016869" y="927373"/>
          <a:ext cx="1073828" cy="2248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900" b="1"/>
            <a:t>Average Wait Time</a:t>
          </a:r>
          <a:endParaRPr lang="en-IN" sz="1100" b="1"/>
        </a:p>
      </xdr:txBody>
    </xdr:sp>
    <xdr:clientData/>
  </xdr:twoCellAnchor>
  <xdr:twoCellAnchor>
    <xdr:from>
      <xdr:col>3</xdr:col>
      <xdr:colOff>437744</xdr:colOff>
      <xdr:row>3</xdr:row>
      <xdr:rowOff>172934</xdr:rowOff>
    </xdr:from>
    <xdr:to>
      <xdr:col>4</xdr:col>
      <xdr:colOff>297235</xdr:colOff>
      <xdr:row>5</xdr:row>
      <xdr:rowOff>48638</xdr:rowOff>
    </xdr:to>
    <xdr:sp macro="" textlink="'Pivot Report'!A10">
      <xdr:nvSpPr>
        <xdr:cNvPr id="12" name="TextBox 11">
          <a:extLst>
            <a:ext uri="{FF2B5EF4-FFF2-40B4-BE49-F238E27FC236}">
              <a16:creationId xmlns:a16="http://schemas.microsoft.com/office/drawing/2014/main" id="{6A7B08F3-505C-E272-23EF-AE9C37D0DF91}"/>
            </a:ext>
          </a:extLst>
        </xdr:cNvPr>
        <xdr:cNvSpPr txBox="1"/>
      </xdr:nvSpPr>
      <xdr:spPr>
        <a:xfrm>
          <a:off x="2269787" y="724168"/>
          <a:ext cx="470171" cy="243193"/>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3FD872E8-50CA-4765-B8AE-FFF814D5E406}" type="TxLink">
            <a:rPr lang="en-US" sz="1100" b="1" i="0" u="none" strike="noStrike">
              <a:solidFill>
                <a:srgbClr val="000000"/>
              </a:solidFill>
              <a:latin typeface="Calibri"/>
              <a:ea typeface="Calibri"/>
              <a:cs typeface="Calibri"/>
            </a:rPr>
            <a:pPr marL="0" indent="0"/>
            <a:t>35.04</a:t>
          </a:fld>
          <a:endParaRPr lang="en-IN" sz="1100" b="1" i="0" u="none" strike="noStrike">
            <a:solidFill>
              <a:srgbClr val="000000"/>
            </a:solidFill>
            <a:latin typeface="Calibri"/>
            <a:ea typeface="Calibri"/>
            <a:cs typeface="Calibri"/>
          </a:endParaRPr>
        </a:p>
      </xdr:txBody>
    </xdr:sp>
    <xdr:clientData/>
  </xdr:twoCellAnchor>
  <xdr:twoCellAnchor editAs="absolute">
    <xdr:from>
      <xdr:col>5</xdr:col>
      <xdr:colOff>124297</xdr:colOff>
      <xdr:row>5</xdr:row>
      <xdr:rowOff>38909</xdr:rowOff>
    </xdr:from>
    <xdr:to>
      <xdr:col>7</xdr:col>
      <xdr:colOff>59446</xdr:colOff>
      <xdr:row>6</xdr:row>
      <xdr:rowOff>49718</xdr:rowOff>
    </xdr:to>
    <xdr:sp macro="" textlink="">
      <xdr:nvSpPr>
        <xdr:cNvPr id="15" name="TextBox 14">
          <a:extLst>
            <a:ext uri="{FF2B5EF4-FFF2-40B4-BE49-F238E27FC236}">
              <a16:creationId xmlns:a16="http://schemas.microsoft.com/office/drawing/2014/main" id="{B29E1F47-8759-C5E5-DD47-6136C16891DA}"/>
            </a:ext>
          </a:extLst>
        </xdr:cNvPr>
        <xdr:cNvSpPr txBox="1"/>
      </xdr:nvSpPr>
      <xdr:spPr>
        <a:xfrm>
          <a:off x="3177701" y="957632"/>
          <a:ext cx="1156511" cy="1945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800" b="1"/>
            <a:t>Patient Satisfaction Score</a:t>
          </a:r>
          <a:endParaRPr lang="en-IN" sz="1050" b="1"/>
        </a:p>
      </xdr:txBody>
    </xdr:sp>
    <xdr:clientData/>
  </xdr:twoCellAnchor>
  <xdr:twoCellAnchor>
    <xdr:from>
      <xdr:col>5</xdr:col>
      <xdr:colOff>464766</xdr:colOff>
      <xdr:row>3</xdr:row>
      <xdr:rowOff>183742</xdr:rowOff>
    </xdr:from>
    <xdr:to>
      <xdr:col>6</xdr:col>
      <xdr:colOff>324256</xdr:colOff>
      <xdr:row>5</xdr:row>
      <xdr:rowOff>59446</xdr:rowOff>
    </xdr:to>
    <xdr:sp macro="" textlink="'Pivot Report'!A16">
      <xdr:nvSpPr>
        <xdr:cNvPr id="16" name="TextBox 15">
          <a:extLst>
            <a:ext uri="{FF2B5EF4-FFF2-40B4-BE49-F238E27FC236}">
              <a16:creationId xmlns:a16="http://schemas.microsoft.com/office/drawing/2014/main" id="{5BDBD70E-74F9-E0E3-C68D-85AB05453097}"/>
            </a:ext>
          </a:extLst>
        </xdr:cNvPr>
        <xdr:cNvSpPr txBox="1"/>
      </xdr:nvSpPr>
      <xdr:spPr>
        <a:xfrm>
          <a:off x="3518170" y="734976"/>
          <a:ext cx="470171" cy="243193"/>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9DA337E1-F7BA-4FF2-A522-74EF3F89853C}" type="TxLink">
            <a:rPr lang="en-US" sz="1100" b="1" i="0" u="none" strike="noStrike">
              <a:solidFill>
                <a:srgbClr val="000000"/>
              </a:solidFill>
              <a:latin typeface="Calibri"/>
              <a:ea typeface="Calibri"/>
              <a:cs typeface="Calibri"/>
            </a:rPr>
            <a:pPr marL="0" indent="0"/>
            <a:t>4.63</a:t>
          </a:fld>
          <a:endParaRPr lang="en-IN" sz="1100" b="1" i="0" u="none" strike="noStrike">
            <a:solidFill>
              <a:srgbClr val="000000"/>
            </a:solidFill>
            <a:latin typeface="Calibri"/>
            <a:ea typeface="Calibri"/>
            <a:cs typeface="Calibri"/>
          </a:endParaRPr>
        </a:p>
      </xdr:txBody>
    </xdr:sp>
    <xdr:clientData/>
  </xdr:twoCellAnchor>
  <xdr:twoCellAnchor editAs="oneCell">
    <xdr:from>
      <xdr:col>2</xdr:col>
      <xdr:colOff>437744</xdr:colOff>
      <xdr:row>3</xdr:row>
      <xdr:rowOff>86468</xdr:rowOff>
    </xdr:from>
    <xdr:to>
      <xdr:col>3</xdr:col>
      <xdr:colOff>71334</xdr:colOff>
      <xdr:row>4</xdr:row>
      <xdr:rowOff>146994</xdr:rowOff>
    </xdr:to>
    <xdr:pic>
      <xdr:nvPicPr>
        <xdr:cNvPr id="18" name="Graphic 17" descr="Male profile with solid fill">
          <a:extLst>
            <a:ext uri="{FF2B5EF4-FFF2-40B4-BE49-F238E27FC236}">
              <a16:creationId xmlns:a16="http://schemas.microsoft.com/office/drawing/2014/main" id="{5ADAF195-B40D-F838-DC91-7136FD085045}"/>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659106" y="637702"/>
          <a:ext cx="244271" cy="244271"/>
        </a:xfrm>
        <a:prstGeom prst="rect">
          <a:avLst/>
        </a:prstGeom>
      </xdr:spPr>
    </xdr:pic>
    <xdr:clientData/>
  </xdr:twoCellAnchor>
  <xdr:twoCellAnchor editAs="oneCell">
    <xdr:from>
      <xdr:col>6</xdr:col>
      <xdr:colOff>399917</xdr:colOff>
      <xdr:row>3</xdr:row>
      <xdr:rowOff>86467</xdr:rowOff>
    </xdr:from>
    <xdr:to>
      <xdr:col>7</xdr:col>
      <xdr:colOff>49721</xdr:colOff>
      <xdr:row>4</xdr:row>
      <xdr:rowOff>163207</xdr:rowOff>
    </xdr:to>
    <xdr:pic>
      <xdr:nvPicPr>
        <xdr:cNvPr id="21" name="Graphic 20" descr="Chat bubble with solid fill">
          <a:extLst>
            <a:ext uri="{FF2B5EF4-FFF2-40B4-BE49-F238E27FC236}">
              <a16:creationId xmlns:a16="http://schemas.microsoft.com/office/drawing/2014/main" id="{43B85C88-9805-99D0-C99E-8240C22573A5}"/>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4064002" y="637701"/>
          <a:ext cx="260485" cy="260485"/>
        </a:xfrm>
        <a:prstGeom prst="rect">
          <a:avLst/>
        </a:prstGeom>
      </xdr:spPr>
    </xdr:pic>
    <xdr:clientData/>
  </xdr:twoCellAnchor>
  <xdr:twoCellAnchor editAs="oneCell">
    <xdr:from>
      <xdr:col>4</xdr:col>
      <xdr:colOff>443149</xdr:colOff>
      <xdr:row>3</xdr:row>
      <xdr:rowOff>97036</xdr:rowOff>
    </xdr:from>
    <xdr:to>
      <xdr:col>5</xdr:col>
      <xdr:colOff>64851</xdr:colOff>
      <xdr:row>4</xdr:row>
      <xdr:rowOff>145674</xdr:rowOff>
    </xdr:to>
    <xdr:pic>
      <xdr:nvPicPr>
        <xdr:cNvPr id="23" name="Graphic 22" descr="Hourglass Finished with solid fill">
          <a:extLst>
            <a:ext uri="{FF2B5EF4-FFF2-40B4-BE49-F238E27FC236}">
              <a16:creationId xmlns:a16="http://schemas.microsoft.com/office/drawing/2014/main" id="{405A7558-CA7E-719F-0185-798816ACAE1C}"/>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2885872" y="648270"/>
          <a:ext cx="232383" cy="232383"/>
        </a:xfrm>
        <a:prstGeom prst="rect">
          <a:avLst/>
        </a:prstGeom>
      </xdr:spPr>
    </xdr:pic>
    <xdr:clientData/>
  </xdr:twoCellAnchor>
  <xdr:twoCellAnchor editAs="oneCell">
    <xdr:from>
      <xdr:col>0</xdr:col>
      <xdr:colOff>107383</xdr:colOff>
      <xdr:row>3</xdr:row>
      <xdr:rowOff>118892</xdr:rowOff>
    </xdr:from>
    <xdr:to>
      <xdr:col>1</xdr:col>
      <xdr:colOff>156723</xdr:colOff>
      <xdr:row>16</xdr:row>
      <xdr:rowOff>70254</xdr:rowOff>
    </xdr:to>
    <mc:AlternateContent xmlns:mc="http://schemas.openxmlformats.org/markup-compatibility/2006" xmlns:a14="http://schemas.microsoft.com/office/drawing/2010/main">
      <mc:Choice Requires="a14">
        <xdr:graphicFrame macro="">
          <xdr:nvGraphicFramePr>
            <xdr:cNvPr id="26" name="Date (Month) 1">
              <a:extLst>
                <a:ext uri="{FF2B5EF4-FFF2-40B4-BE49-F238E27FC236}">
                  <a16:creationId xmlns:a16="http://schemas.microsoft.com/office/drawing/2014/main" id="{A2D3489C-B6EE-42B6-8CDA-991E0CAACF7E}"/>
                </a:ext>
              </a:extLst>
            </xdr:cNvPr>
            <xdr:cNvGraphicFramePr/>
          </xdr:nvGraphicFramePr>
          <xdr:xfrm>
            <a:off x="0" y="0"/>
            <a:ext cx="0" cy="0"/>
          </xdr:xfrm>
          <a:graphic>
            <a:graphicData uri="http://schemas.microsoft.com/office/drawing/2010/slicer">
              <sle:slicer xmlns:sle="http://schemas.microsoft.com/office/drawing/2010/slicer" name="Date (Month) 1"/>
            </a:graphicData>
          </a:graphic>
        </xdr:graphicFrame>
      </mc:Choice>
      <mc:Fallback xmlns="">
        <xdr:sp macro="" textlink="">
          <xdr:nvSpPr>
            <xdr:cNvPr id="0" name=""/>
            <xdr:cNvSpPr>
              <a:spLocks noTextEdit="1"/>
            </xdr:cNvSpPr>
          </xdr:nvSpPr>
          <xdr:spPr>
            <a:xfrm>
              <a:off x="107383" y="670126"/>
              <a:ext cx="660021" cy="234004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210766</xdr:colOff>
      <xdr:row>6</xdr:row>
      <xdr:rowOff>75660</xdr:rowOff>
    </xdr:from>
    <xdr:to>
      <xdr:col>3</xdr:col>
      <xdr:colOff>172934</xdr:colOff>
      <xdr:row>8</xdr:row>
      <xdr:rowOff>145914</xdr:rowOff>
    </xdr:to>
    <xdr:graphicFrame macro="">
      <xdr:nvGraphicFramePr>
        <xdr:cNvPr id="17" name="Chart 16">
          <a:hlinkClick xmlns:r="http://schemas.openxmlformats.org/officeDocument/2006/relationships" r:id="rId8"/>
          <a:extLst>
            <a:ext uri="{FF2B5EF4-FFF2-40B4-BE49-F238E27FC236}">
              <a16:creationId xmlns:a16="http://schemas.microsoft.com/office/drawing/2014/main" id="{BBFAF12D-E594-486A-81BD-6FFD49A398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xdr:col>
      <xdr:colOff>583659</xdr:colOff>
      <xdr:row>6</xdr:row>
      <xdr:rowOff>43235</xdr:rowOff>
    </xdr:from>
    <xdr:to>
      <xdr:col>5</xdr:col>
      <xdr:colOff>237787</xdr:colOff>
      <xdr:row>9</xdr:row>
      <xdr:rowOff>94275</xdr:rowOff>
    </xdr:to>
    <xdr:graphicFrame macro="">
      <xdr:nvGraphicFramePr>
        <xdr:cNvPr id="19" name="Chart 18">
          <a:hlinkClick xmlns:r="http://schemas.openxmlformats.org/officeDocument/2006/relationships" r:id="rId10"/>
          <a:extLst>
            <a:ext uri="{FF2B5EF4-FFF2-40B4-BE49-F238E27FC236}">
              <a16:creationId xmlns:a16="http://schemas.microsoft.com/office/drawing/2014/main" id="{03380992-4A1D-4102-B2C2-8AFB20257B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5</xdr:col>
      <xdr:colOff>97278</xdr:colOff>
      <xdr:row>6</xdr:row>
      <xdr:rowOff>97277</xdr:rowOff>
    </xdr:from>
    <xdr:to>
      <xdr:col>7</xdr:col>
      <xdr:colOff>54044</xdr:colOff>
      <xdr:row>8</xdr:row>
      <xdr:rowOff>140510</xdr:rowOff>
    </xdr:to>
    <xdr:graphicFrame macro="">
      <xdr:nvGraphicFramePr>
        <xdr:cNvPr id="28" name="Chart 27">
          <a:hlinkClick xmlns:r="http://schemas.openxmlformats.org/officeDocument/2006/relationships" r:id="rId12"/>
          <a:extLst>
            <a:ext uri="{FF2B5EF4-FFF2-40B4-BE49-F238E27FC236}">
              <a16:creationId xmlns:a16="http://schemas.microsoft.com/office/drawing/2014/main" id="{901FAD7D-C59E-4462-B2BD-01D0C49530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mc:AlternateContent xmlns:mc="http://schemas.openxmlformats.org/markup-compatibility/2006">
    <mc:Choice xmlns:a14="http://schemas.microsoft.com/office/drawing/2010/main" Requires="a14">
      <xdr:twoCellAnchor editAs="oneCell">
        <xdr:from>
          <xdr:col>1</xdr:col>
          <xdr:colOff>221575</xdr:colOff>
          <xdr:row>9</xdr:row>
          <xdr:rowOff>16213</xdr:rowOff>
        </xdr:from>
        <xdr:to>
          <xdr:col>7</xdr:col>
          <xdr:colOff>81535</xdr:colOff>
          <xdr:row>11</xdr:row>
          <xdr:rowOff>108084</xdr:rowOff>
        </xdr:to>
        <xdr:pic>
          <xdr:nvPicPr>
            <xdr:cNvPr id="22" name="Picture 21">
              <a:extLst>
                <a:ext uri="{FF2B5EF4-FFF2-40B4-BE49-F238E27FC236}">
                  <a16:creationId xmlns:a16="http://schemas.microsoft.com/office/drawing/2014/main" id="{7C3C28C2-C8AB-0B73-B5CC-0CFFF698E167}"/>
                </a:ext>
              </a:extLst>
            </xdr:cNvPr>
            <xdr:cNvPicPr>
              <a:picLocks noChangeAspect="1" noChangeArrowheads="1"/>
              <a:extLst>
                <a:ext uri="{84589F7E-364E-4C9E-8A38-B11213B215E9}">
                  <a14:cameraTool cellRange="'Pivot Report'!$A$48:$D$50" spid="_x0000_s4112"/>
                </a:ext>
              </a:extLst>
            </xdr:cNvPicPr>
          </xdr:nvPicPr>
          <xdr:blipFill>
            <a:blip xmlns:r="http://schemas.openxmlformats.org/officeDocument/2006/relationships" r:embed="rId14"/>
            <a:srcRect/>
            <a:stretch>
              <a:fillRect/>
            </a:stretch>
          </xdr:blipFill>
          <xdr:spPr bwMode="auto">
            <a:xfrm>
              <a:off x="832256" y="1669915"/>
              <a:ext cx="3524045" cy="459360"/>
            </a:xfrm>
            <a:prstGeom prst="roundRect">
              <a:avLst>
                <a:gd name="adj" fmla="val 16667"/>
              </a:avLst>
            </a:prstGeom>
            <a:solidFill>
              <a:schemeClr val="bg1">
                <a:lumMod val="95000"/>
              </a:schemeClr>
            </a:solidFill>
            <a:ln>
              <a:noFill/>
            </a:ln>
            <a:effectLst/>
            <a:scene3d>
              <a:camera prst="orthographicFront"/>
              <a:lightRig rig="contrasting" dir="t">
                <a:rot lat="0" lon="0" rev="4200000"/>
              </a:lightRig>
            </a:scene3d>
            <a:sp3d prstMaterial="plastic">
              <a:contourClr>
                <a:srgbClr val="969696"/>
              </a:contourClr>
            </a:sp3d>
          </xdr:spPr>
        </xdr:pic>
        <xdr:clientData/>
      </xdr:twoCellAnchor>
    </mc:Choice>
    <mc:Fallback/>
  </mc:AlternateContent>
  <xdr:twoCellAnchor>
    <xdr:from>
      <xdr:col>1</xdr:col>
      <xdr:colOff>248595</xdr:colOff>
      <xdr:row>11</xdr:row>
      <xdr:rowOff>129703</xdr:rowOff>
    </xdr:from>
    <xdr:to>
      <xdr:col>7</xdr:col>
      <xdr:colOff>81063</xdr:colOff>
      <xdr:row>16</xdr:row>
      <xdr:rowOff>43234</xdr:rowOff>
    </xdr:to>
    <xdr:graphicFrame macro="">
      <xdr:nvGraphicFramePr>
        <xdr:cNvPr id="32" name="Chart 31">
          <a:extLst>
            <a:ext uri="{FF2B5EF4-FFF2-40B4-BE49-F238E27FC236}">
              <a16:creationId xmlns:a16="http://schemas.microsoft.com/office/drawing/2014/main" id="{91A29972-5C18-4620-B096-6781221CD4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7</xdr:col>
      <xdr:colOff>129001</xdr:colOff>
      <xdr:row>0</xdr:row>
      <xdr:rowOff>124298</xdr:rowOff>
    </xdr:from>
    <xdr:to>
      <xdr:col>9</xdr:col>
      <xdr:colOff>86468</xdr:colOff>
      <xdr:row>7</xdr:row>
      <xdr:rowOff>10808</xdr:rowOff>
    </xdr:to>
    <xdr:graphicFrame macro="">
      <xdr:nvGraphicFramePr>
        <xdr:cNvPr id="33" name="Chart 32">
          <a:extLst>
            <a:ext uri="{FF2B5EF4-FFF2-40B4-BE49-F238E27FC236}">
              <a16:creationId xmlns:a16="http://schemas.microsoft.com/office/drawing/2014/main" id="{721DEC97-B6A3-441A-8439-1DCD0645BC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7</xdr:col>
      <xdr:colOff>189149</xdr:colOff>
      <xdr:row>6</xdr:row>
      <xdr:rowOff>113489</xdr:rowOff>
    </xdr:from>
    <xdr:to>
      <xdr:col>9</xdr:col>
      <xdr:colOff>108085</xdr:colOff>
      <xdr:row>7</xdr:row>
      <xdr:rowOff>140510</xdr:rowOff>
    </xdr:to>
    <xdr:sp macro="" textlink="">
      <xdr:nvSpPr>
        <xdr:cNvPr id="37" name="TextBox 36">
          <a:extLst>
            <a:ext uri="{FF2B5EF4-FFF2-40B4-BE49-F238E27FC236}">
              <a16:creationId xmlns:a16="http://schemas.microsoft.com/office/drawing/2014/main" id="{58B1E164-C8FE-A385-75E8-285A57B57F17}"/>
            </a:ext>
          </a:extLst>
        </xdr:cNvPr>
        <xdr:cNvSpPr txBox="1"/>
      </xdr:nvSpPr>
      <xdr:spPr>
        <a:xfrm>
          <a:off x="4463915" y="1215957"/>
          <a:ext cx="1140298" cy="2107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800" b="1"/>
            <a:t>Patient</a:t>
          </a:r>
          <a:r>
            <a:rPr lang="en-IN" sz="1200" b="1"/>
            <a:t> </a:t>
          </a:r>
          <a:r>
            <a:rPr lang="en-IN" sz="800" b="1"/>
            <a:t>Attend</a:t>
          </a:r>
          <a:r>
            <a:rPr lang="en-IN" sz="1200" b="1"/>
            <a:t> </a:t>
          </a:r>
          <a:r>
            <a:rPr lang="en-IN" sz="800" b="1"/>
            <a:t>Status</a:t>
          </a:r>
          <a:endParaRPr lang="en-IN" sz="1200" b="1"/>
        </a:p>
        <a:p>
          <a:endParaRPr lang="en-IN" sz="1100" b="1"/>
        </a:p>
      </xdr:txBody>
    </xdr:sp>
    <xdr:clientData/>
  </xdr:twoCellAnchor>
  <xdr:twoCellAnchor>
    <xdr:from>
      <xdr:col>9</xdr:col>
      <xdr:colOff>205361</xdr:colOff>
      <xdr:row>0</xdr:row>
      <xdr:rowOff>135108</xdr:rowOff>
    </xdr:from>
    <xdr:to>
      <xdr:col>11</xdr:col>
      <xdr:colOff>140511</xdr:colOff>
      <xdr:row>6</xdr:row>
      <xdr:rowOff>151320</xdr:rowOff>
    </xdr:to>
    <xdr:graphicFrame macro="">
      <xdr:nvGraphicFramePr>
        <xdr:cNvPr id="38" name="Chart 37">
          <a:extLst>
            <a:ext uri="{FF2B5EF4-FFF2-40B4-BE49-F238E27FC236}">
              <a16:creationId xmlns:a16="http://schemas.microsoft.com/office/drawing/2014/main" id="{D05E638A-697C-4660-9F25-1AD45C480C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9</xdr:col>
      <xdr:colOff>215467</xdr:colOff>
      <xdr:row>6</xdr:row>
      <xdr:rowOff>150885</xdr:rowOff>
    </xdr:from>
    <xdr:to>
      <xdr:col>11</xdr:col>
      <xdr:colOff>134404</xdr:colOff>
      <xdr:row>7</xdr:row>
      <xdr:rowOff>177906</xdr:rowOff>
    </xdr:to>
    <xdr:sp macro="" textlink="">
      <xdr:nvSpPr>
        <xdr:cNvPr id="39" name="TextBox 38">
          <a:extLst>
            <a:ext uri="{FF2B5EF4-FFF2-40B4-BE49-F238E27FC236}">
              <a16:creationId xmlns:a16="http://schemas.microsoft.com/office/drawing/2014/main" id="{382F95AC-B962-48F1-9FB1-98039C4D6E72}"/>
            </a:ext>
          </a:extLst>
        </xdr:cNvPr>
        <xdr:cNvSpPr txBox="1"/>
      </xdr:nvSpPr>
      <xdr:spPr>
        <a:xfrm>
          <a:off x="5711595" y="1253353"/>
          <a:ext cx="1140298" cy="2107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800" b="1"/>
            <a:t>Gender Wise Analysis</a:t>
          </a:r>
        </a:p>
        <a:p>
          <a:endParaRPr lang="en-IN" sz="1200" b="1"/>
        </a:p>
        <a:p>
          <a:endParaRPr lang="en-IN" sz="1100" b="1"/>
        </a:p>
      </xdr:txBody>
    </xdr:sp>
    <xdr:clientData/>
  </xdr:twoCellAnchor>
  <xdr:twoCellAnchor>
    <xdr:from>
      <xdr:col>7</xdr:col>
      <xdr:colOff>210766</xdr:colOff>
      <xdr:row>8</xdr:row>
      <xdr:rowOff>81063</xdr:rowOff>
    </xdr:from>
    <xdr:to>
      <xdr:col>11</xdr:col>
      <xdr:colOff>145915</xdr:colOff>
      <xdr:row>15</xdr:row>
      <xdr:rowOff>156724</xdr:rowOff>
    </xdr:to>
    <xdr:graphicFrame macro="">
      <xdr:nvGraphicFramePr>
        <xdr:cNvPr id="40" name="Chart 39">
          <a:extLst>
            <a:ext uri="{FF2B5EF4-FFF2-40B4-BE49-F238E27FC236}">
              <a16:creationId xmlns:a16="http://schemas.microsoft.com/office/drawing/2014/main" id="{C3C344A7-D5B5-459B-B5EE-33725D4714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7</xdr:col>
      <xdr:colOff>540425</xdr:colOff>
      <xdr:row>15</xdr:row>
      <xdr:rowOff>0</xdr:rowOff>
    </xdr:from>
    <xdr:to>
      <xdr:col>11</xdr:col>
      <xdr:colOff>75660</xdr:colOff>
      <xdr:row>16</xdr:row>
      <xdr:rowOff>27021</xdr:rowOff>
    </xdr:to>
    <xdr:sp macro="" textlink="">
      <xdr:nvSpPr>
        <xdr:cNvPr id="41" name="TextBox 40">
          <a:extLst>
            <a:ext uri="{FF2B5EF4-FFF2-40B4-BE49-F238E27FC236}">
              <a16:creationId xmlns:a16="http://schemas.microsoft.com/office/drawing/2014/main" id="{1DB26C06-7E0A-1777-BABF-BFE332CB1E83}"/>
            </a:ext>
          </a:extLst>
        </xdr:cNvPr>
        <xdr:cNvSpPr txBox="1"/>
      </xdr:nvSpPr>
      <xdr:spPr>
        <a:xfrm>
          <a:off x="4815191" y="2756170"/>
          <a:ext cx="1977958" cy="2107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800" b="1"/>
            <a:t>Patient count by Department Referral</a:t>
          </a:r>
        </a:p>
        <a:p>
          <a:endParaRPr lang="en-IN" sz="1100"/>
        </a:p>
      </xdr:txBody>
    </xdr:sp>
    <xdr:clientData/>
  </xdr:twoCellAnchor>
  <xdr:twoCellAnchor editAs="oneCell">
    <xdr:from>
      <xdr:col>5</xdr:col>
      <xdr:colOff>113488</xdr:colOff>
      <xdr:row>0</xdr:row>
      <xdr:rowOff>135106</xdr:rowOff>
    </xdr:from>
    <xdr:to>
      <xdr:col>6</xdr:col>
      <xdr:colOff>567447</xdr:colOff>
      <xdr:row>3</xdr:row>
      <xdr:rowOff>0</xdr:rowOff>
    </xdr:to>
    <mc:AlternateContent xmlns:mc="http://schemas.openxmlformats.org/markup-compatibility/2006" xmlns:a14="http://schemas.microsoft.com/office/drawing/2010/main">
      <mc:Choice Requires="a14">
        <xdr:graphicFrame macro="">
          <xdr:nvGraphicFramePr>
            <xdr:cNvPr id="42" name="Date (Year)">
              <a:extLst>
                <a:ext uri="{FF2B5EF4-FFF2-40B4-BE49-F238E27FC236}">
                  <a16:creationId xmlns:a16="http://schemas.microsoft.com/office/drawing/2014/main" id="{A8FB6688-A6F7-4E90-BB70-0A9AC2661538}"/>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3166892" y="135106"/>
              <a:ext cx="1064640" cy="4161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1</xdr:col>
      <xdr:colOff>190500</xdr:colOff>
      <xdr:row>24</xdr:row>
      <xdr:rowOff>7620</xdr:rowOff>
    </xdr:from>
    <xdr:to>
      <xdr:col>17</xdr:col>
      <xdr:colOff>342900</xdr:colOff>
      <xdr:row>25</xdr:row>
      <xdr:rowOff>106680</xdr:rowOff>
    </xdr:to>
    <xdr:sp macro="" textlink="">
      <xdr:nvSpPr>
        <xdr:cNvPr id="4" name="TextBox 3">
          <a:extLst>
            <a:ext uri="{FF2B5EF4-FFF2-40B4-BE49-F238E27FC236}">
              <a16:creationId xmlns:a16="http://schemas.microsoft.com/office/drawing/2014/main" id="{04A07858-DB04-442B-804D-86744872A008}"/>
            </a:ext>
          </a:extLst>
        </xdr:cNvPr>
        <xdr:cNvSpPr txBox="1"/>
      </xdr:nvSpPr>
      <xdr:spPr>
        <a:xfrm>
          <a:off x="800100" y="4396740"/>
          <a:ext cx="9906000" cy="281940"/>
        </a:xfrm>
        <a:prstGeom prst="rect">
          <a:avLst/>
        </a:prstGeom>
        <a:solidFill>
          <a:schemeClr val="bg1">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a:t>Used an</a:t>
          </a:r>
          <a:r>
            <a:rPr lang="en-IN" sz="1600" baseline="0"/>
            <a:t> area chart to show trends,spot drops in satisfaction,and link them to busy times or challenges</a:t>
          </a:r>
          <a:endParaRPr lang="en-IN" sz="1600"/>
        </a:p>
      </xdr:txBody>
    </xdr:sp>
    <xdr:clientData/>
  </xdr:twoCellAnchor>
  <xdr:twoCellAnchor>
    <xdr:from>
      <xdr:col>1</xdr:col>
      <xdr:colOff>327660</xdr:colOff>
      <xdr:row>0</xdr:row>
      <xdr:rowOff>167640</xdr:rowOff>
    </xdr:from>
    <xdr:to>
      <xdr:col>16</xdr:col>
      <xdr:colOff>541020</xdr:colOff>
      <xdr:row>24</xdr:row>
      <xdr:rowOff>45720</xdr:rowOff>
    </xdr:to>
    <xdr:graphicFrame macro="">
      <xdr:nvGraphicFramePr>
        <xdr:cNvPr id="5" name="Chart 4">
          <a:extLst>
            <a:ext uri="{FF2B5EF4-FFF2-40B4-BE49-F238E27FC236}">
              <a16:creationId xmlns:a16="http://schemas.microsoft.com/office/drawing/2014/main" id="{7D86F722-407E-4FC9-9584-61568D479E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c:userShapes xmlns:c="http://schemas.openxmlformats.org/drawingml/2006/chart">
  <cdr:relSizeAnchor xmlns:cdr="http://schemas.openxmlformats.org/drawingml/2006/chartDrawing">
    <cdr:from>
      <cdr:x>0.00543</cdr:x>
      <cdr:y>0.0119</cdr:y>
    </cdr:from>
    <cdr:to>
      <cdr:x>0.04777</cdr:x>
      <cdr:y>0.10476</cdr:y>
    </cdr:to>
    <cdr:pic>
      <cdr:nvPicPr>
        <cdr:cNvPr id="2" name="Graphic 5"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D95ADB08-60FF-9D78-C6AF-967D6E1BD4BC}"/>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50800" y="50800"/>
          <a:ext cx="396240" cy="396240"/>
        </a:xfrm>
        <a:prstGeom xmlns:a="http://schemas.openxmlformats.org/drawingml/2006/main" prst="rect">
          <a:avLst/>
        </a:prstGeom>
      </cdr:spPr>
    </cdr:pic>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omp10" refreshedDate="45994.371642245373" createdVersion="5" refreshedVersion="8" minRefreshableVersion="3" recordCount="0" supportSubquery="1" supportAdvancedDrill="1" xr:uid="{2660AFDC-F6B9-4DEF-BF13-F150736ED49F}">
  <cacheSource type="external" connectionId="3"/>
  <cacheFields count="4">
    <cacheField name="[Measures].[Distinct Count of Patient Id]" caption="Distinct Count of Patient Id" numFmtId="0" hierarchy="24" level="32767"/>
    <cacheField name="[Calendar_Table].[Date (Day)].[Date (Day)]" caption="Date (Day)" numFmtId="0" hierarchy="4" level="1">
      <sharedItems count="30">
        <s v="1-Apr"/>
        <s v="2-Apr"/>
        <s v="3-Apr"/>
        <s v="4-Apr"/>
        <s v="5-Apr"/>
        <s v="6-Apr"/>
        <s v="7-Apr"/>
        <s v="8-Apr"/>
        <s v="9-Apr"/>
        <s v="10-Apr"/>
        <s v="11-Apr"/>
        <s v="12-Apr"/>
        <s v="13-Apr"/>
        <s v="14-Apr"/>
        <s v="15-Apr"/>
        <s v="16-Apr"/>
        <s v="17-Apr"/>
        <s v="18-Apr"/>
        <s v="19-Apr"/>
        <s v="20-Apr"/>
        <s v="21-Apr"/>
        <s v="22-Apr"/>
        <s v="23-Apr"/>
        <s v="24-Apr"/>
        <s v="25-Apr"/>
        <s v="26-Apr"/>
        <s v="27-Apr"/>
        <s v="28-Apr"/>
        <s v="29-Apr"/>
        <s v="30-Apr"/>
      </sharedItems>
    </cacheField>
    <cacheField name="[Calendar_Table].[Date (Year)].[Date (Year)]" caption="Date (Year)" numFmtId="0" hierarchy="1" level="1">
      <sharedItems containsSemiMixedTypes="0" containsNonDate="0" containsString="0"/>
    </cacheField>
    <cacheField name="[Calendar_Table].[Date (Month)].[Date (Month)]" caption="Date (Month)"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3"/>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1"/>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omp10" refreshedDate="45994.37164247685" createdVersion="5" refreshedVersion="8" minRefreshableVersion="3" recordCount="0" supportSubquery="1" supportAdvancedDrill="1" xr:uid="{95A6989C-8A43-4CBF-A8C7-70608197A299}">
  <cacheSource type="external" connectionId="3"/>
  <cacheFields count="3">
    <cacheField name="[Measures].[Distinct Count of Patient Id]" caption="Distinct Count of Patient Id" numFmtId="0" hierarchy="24" level="32767"/>
    <cacheField name="[Calendar_Table].[Date (Year)].[Date (Year)]" caption="Date (Year)" numFmtId="0" hierarchy="1" level="1">
      <sharedItems containsSemiMixedTypes="0" containsNonDate="0" containsString="0"/>
    </cacheField>
    <cacheField name="[Calendar_Table].[Date (Month)].[Date (Month)]" caption="Date (Month)"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1"/>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2"/>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omp10" refreshedDate="45994.371642592596" createdVersion="5" refreshedVersion="8" minRefreshableVersion="3" recordCount="0" supportSubquery="1" supportAdvancedDrill="1" xr:uid="{6C394C55-2C5D-4034-89E8-D8A79C011B65}">
  <cacheSource type="external" connectionId="3"/>
  <cacheFields count="3">
    <cacheField name="[Measures].[Average of Patient Waittime]" caption="Average of Patient Waittime" numFmtId="0" hierarchy="26" level="32767"/>
    <cacheField name="[Calendar_Table].[Date (Year)].[Date (Year)]" caption="Date (Year)" numFmtId="0" hierarchy="1" level="1">
      <sharedItems containsSemiMixedTypes="0" containsNonDate="0" containsString="0"/>
    </cacheField>
    <cacheField name="[Calendar_Table].[Date (Month)].[Date (Month)]" caption="Date (Month)"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1"/>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2"/>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omp10" refreshedDate="45994.371643055558" createdVersion="5" refreshedVersion="8" minRefreshableVersion="3" recordCount="0" supportSubquery="1" supportAdvancedDrill="1" xr:uid="{CBEBFC21-8F88-4826-A5F2-2D18462CCF0D}">
  <cacheSource type="external" connectionId="3"/>
  <cacheFields count="3">
    <cacheField name="[Measures].[Average of Patient Satisfaction Score]" caption="Average of Patient Satisfaction Score" numFmtId="0" hierarchy="28" level="32767"/>
    <cacheField name="[Calendar_Table].[Date (Year)].[Date (Year)]" caption="Date (Year)" numFmtId="0" hierarchy="1" level="1">
      <sharedItems containsSemiMixedTypes="0" containsNonDate="0" containsString="0"/>
    </cacheField>
    <cacheField name="[Calendar_Table].[Date (Month)].[Date (Month)]" caption="Date (Month)"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1"/>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2"/>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omp10" refreshedDate="45994.37164351852" createdVersion="5" refreshedVersion="8" minRefreshableVersion="3" recordCount="0" supportSubquery="1" supportAdvancedDrill="1" xr:uid="{EC95BBBE-418D-4D22-B142-A38AD22C049F}">
  <cacheSource type="external" connectionId="3"/>
  <cacheFields count="4">
    <cacheField name="[Calendar_Table].[Date (Day)].[Date (Day)]" caption="Date (Day)" numFmtId="0" hierarchy="4" level="1">
      <sharedItems count="30">
        <s v="1-Apr"/>
        <s v="2-Apr"/>
        <s v="3-Apr"/>
        <s v="4-Apr"/>
        <s v="5-Apr"/>
        <s v="6-Apr"/>
        <s v="7-Apr"/>
        <s v="8-Apr"/>
        <s v="9-Apr"/>
        <s v="10-Apr"/>
        <s v="11-Apr"/>
        <s v="12-Apr"/>
        <s v="13-Apr"/>
        <s v="14-Apr"/>
        <s v="15-Apr"/>
        <s v="16-Apr"/>
        <s v="17-Apr"/>
        <s v="18-Apr"/>
        <s v="19-Apr"/>
        <s v="20-Apr"/>
        <s v="21-Apr"/>
        <s v="22-Apr"/>
        <s v="23-Apr"/>
        <s v="24-Apr"/>
        <s v="25-Apr"/>
        <s v="26-Apr"/>
        <s v="27-Apr"/>
        <s v="28-Apr"/>
        <s v="29-Apr"/>
        <s v="30-Apr"/>
      </sharedItems>
    </cacheField>
    <cacheField name="[Calendar_Table].[Date (Year)].[Date (Year)]" caption="Date (Year)" numFmtId="0" hierarchy="1" level="1">
      <sharedItems containsSemiMixedTypes="0" containsNonDate="0" containsString="0"/>
    </cacheField>
    <cacheField name="[Measures].[Average of Patient Waittime]" caption="Average of Patient Waittime" numFmtId="0" hierarchy="26" level="32767"/>
    <cacheField name="[Calendar_Table].[Date (Month)].[Date (Month)]" caption="Date (Month)"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1"/>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3"/>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omp10" refreshedDate="45994.371644328705" createdVersion="5" refreshedVersion="8" minRefreshableVersion="3" recordCount="0" supportSubquery="1" supportAdvancedDrill="1" xr:uid="{C551641A-0095-4826-A821-3EC1C53485B5}">
  <cacheSource type="external" connectionId="3"/>
  <cacheFields count="4">
    <cacheField name="[Calendar_Table].[Date (Day)].[Date (Day)]" caption="Date (Day)" numFmtId="0" hierarchy="4" level="1">
      <sharedItems count="30">
        <s v="1-Apr"/>
        <s v="2-Apr"/>
        <s v="3-Apr"/>
        <s v="4-Apr"/>
        <s v="5-Apr"/>
        <s v="6-Apr"/>
        <s v="7-Apr"/>
        <s v="8-Apr"/>
        <s v="9-Apr"/>
        <s v="10-Apr"/>
        <s v="11-Apr"/>
        <s v="12-Apr"/>
        <s v="13-Apr"/>
        <s v="14-Apr"/>
        <s v="15-Apr"/>
        <s v="16-Apr"/>
        <s v="17-Apr"/>
        <s v="18-Apr"/>
        <s v="19-Apr"/>
        <s v="20-Apr"/>
        <s v="21-Apr"/>
        <s v="22-Apr"/>
        <s v="23-Apr"/>
        <s v="24-Apr"/>
        <s v="25-Apr"/>
        <s v="26-Apr"/>
        <s v="27-Apr"/>
        <s v="28-Apr"/>
        <s v="29-Apr"/>
        <s v="30-Apr"/>
      </sharedItems>
    </cacheField>
    <cacheField name="[Calendar_Table].[Date (Month)].[Date (Month)]" caption="Date (Month)" numFmtId="0" hierarchy="3" level="1">
      <sharedItems containsSemiMixedTypes="0" containsNonDate="0" containsString="0"/>
    </cacheField>
    <cacheField name="[Calendar_Table].[Date (Year)].[Date (Year)]" caption="Date (Year)" numFmtId="0" hierarchy="1" level="1">
      <sharedItems containsSemiMixedTypes="0" containsNonDate="0" containsString="0"/>
    </cacheField>
    <cacheField name="[Measures].[Average of Patient Satisfaction Score]" caption="Average of Patient Satisfaction Score" numFmtId="0" hierarchy="28" level="32767"/>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3"/>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omp10" refreshedDate="45994.371644675928" createdVersion="5" refreshedVersion="8" minRefreshableVersion="3" recordCount="0" supportSubquery="1" supportAdvancedDrill="1" xr:uid="{C50A1995-11AA-46D6-944D-322998766F3A}">
  <cacheSource type="external" connectionId="3"/>
  <cacheFields count="5">
    <cacheField name="[Calendar_Table].[Date (Year)].[Date (Year)]" caption="Date (Year)" numFmtId="0" hierarchy="1" level="1">
      <sharedItems containsSemiMixedTypes="0" containsNonDate="0" containsString="0"/>
    </cacheField>
    <cacheField name="[Hospital Emergency Room Data].[Patient Admission Flag].[Patient Admission Flag]" caption="Patient Admission Flag" numFmtId="0" hierarchy="13" level="1">
      <sharedItems count="2">
        <s v="Admitted"/>
        <s v="Not Admitted"/>
      </sharedItems>
    </cacheField>
    <cacheField name="[Measures].[Count of Patient Admission Flag]" caption="Count of Patient Admission Flag" numFmtId="0" hierarchy="29" level="32767"/>
    <cacheField name="[Calendar_Table].[Date (Month)].[Date (Month)]" caption="Date (Month)" numFmtId="0" hierarchy="3" level="1">
      <sharedItems containsSemiMixedTypes="0" containsNonDate="0" containsString="0"/>
    </cacheField>
    <cacheField name="Dummy0" numFmtId="0" hierarchy="34" level="32767">
      <extLst>
        <ext xmlns:x14="http://schemas.microsoft.com/office/spreadsheetml/2009/9/main" uri="{63CAB8AC-B538-458d-9737-405883B0398D}">
          <x14:cacheField ignore="1"/>
        </ext>
      </extLst>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0"/>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3"/>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1"/>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oneField="1" hidden="1">
      <fieldsUsage count="1">
        <fieldUsage x="2"/>
      </fieldsUsage>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Dummy0" caption="Date" measure="1" count="0">
      <extLst>
        <ext xmlns:x14="http://schemas.microsoft.com/office/spreadsheetml/2009/9/main" uri="{8CF416AD-EC4C-4aba-99F5-12A058AE0983}">
          <x14:cacheHierarchy ignore="1"/>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omp10" refreshedDate="45994.371645370367" createdVersion="5" refreshedVersion="8" minRefreshableVersion="3" recordCount="0" supportSubquery="1" supportAdvancedDrill="1" xr:uid="{8ABAB047-C390-4978-B02E-CC8FAB190017}">
  <cacheSource type="external" connectionId="3"/>
  <cacheFields count="4">
    <cacheField name="[Calendar_Table].[Date (Year)].[Date (Year)]" caption="Date (Year)" numFmtId="0" hierarchy="1" level="1">
      <sharedItems containsSemiMixedTypes="0" containsNonDate="0" containsString="0"/>
    </cacheField>
    <cacheField name="[Measures].[Count of Age Group]" caption="Count of Age Group" numFmtId="0" hierarchy="30" level="32767"/>
    <cacheField name="[Hospital Emergency Room Data].[Age Group].[Age Group]" caption="Age Group" numFmtId="0" hierarchy="16" level="1">
      <sharedItems count="8">
        <s v="0-9"/>
        <s v="10 -19"/>
        <s v="20 -29"/>
        <s v="30 -39"/>
        <s v="40 -49"/>
        <s v="50 -59"/>
        <s v="60 -69"/>
        <s v="70 -79"/>
      </sharedItems>
    </cacheField>
    <cacheField name="[Calendar_Table].[Date (Month)].[Date (Month)]" caption="Date (Month)"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0"/>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3"/>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2"/>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oneField="1" hidden="1">
      <fieldsUsage count="1">
        <fieldUsage x="1"/>
      </fieldsUsage>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omp10" refreshedDate="45994.371645717591" createdVersion="5" refreshedVersion="8" minRefreshableVersion="3" recordCount="0" supportSubquery="1" supportAdvancedDrill="1" xr:uid="{BBB598D2-8887-4CA8-91DD-44CEB95F3277}">
  <cacheSource type="external" connectionId="3"/>
  <cacheFields count="4">
    <cacheField name="[Calendar_Table].[Date (Year)].[Date (Year)]" caption="Date (Year)" numFmtId="0" hierarchy="1" level="1">
      <sharedItems containsSemiMixedTypes="0" containsNonDate="0" containsString="0"/>
    </cacheField>
    <cacheField name="[Hospital Emergency Room Data].[Patient Attend Status].[Patient Attend Status]" caption="Patient Attend Status" numFmtId="0" hierarchy="17" level="1">
      <sharedItems count="2">
        <s v="Delay"/>
        <s v="Ontime"/>
      </sharedItems>
    </cacheField>
    <cacheField name="[Measures].[Count of Patient Attend Status]" caption="Count of Patient Attend Status" numFmtId="0" hierarchy="31" level="32767"/>
    <cacheField name="[Calendar_Table].[Date (Month)].[Date (Month)]" caption="Date (Month)"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0"/>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3"/>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1"/>
      </fieldsUsage>
    </cacheHierarchy>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omp10" refreshedDate="45994.371646180552" createdVersion="5" refreshedVersion="8" minRefreshableVersion="3" recordCount="0" supportSubquery="1" supportAdvancedDrill="1" xr:uid="{4BABE913-A930-4777-9BEF-29D5B02FD87A}">
  <cacheSource type="external" connectionId="3"/>
  <cacheFields count="4">
    <cacheField name="[Calendar_Table].[Date (Year)].[Date (Year)]" caption="Date (Year)" numFmtId="0" hierarchy="1" level="1">
      <sharedItems containsSemiMixedTypes="0" containsNonDate="0" containsString="0"/>
    </cacheField>
    <cacheField name="[Hospital Emergency Room Data].[Patient Gender].[Patient Gender]" caption="Patient Gender" numFmtId="0" hierarchy="9" level="1">
      <sharedItems count="2">
        <s v="Female"/>
        <s v="Male"/>
      </sharedItems>
    </cacheField>
    <cacheField name="[Measures].[Count of Patient Gender]" caption="Count of Patient Gender" numFmtId="0" hierarchy="32" level="32767"/>
    <cacheField name="[Calendar_Table].[Date (Month)].[Date (Month)]" caption="Date (Month)"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0"/>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3"/>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omp10" refreshedDate="45994.371646527776" createdVersion="5" refreshedVersion="8" minRefreshableVersion="3" recordCount="0" supportSubquery="1" supportAdvancedDrill="1" xr:uid="{F181C15E-4367-4639-9E41-8DB64D996153}">
  <cacheSource type="external" connectionId="3"/>
  <cacheFields count="4">
    <cacheField name="[Calendar_Table].[Date (Year)].[Date (Year)]" caption="Date (Year)" numFmtId="0" hierarchy="1" level="1">
      <sharedItems containsSemiMixedTypes="0" containsNonDate="0" containsString="0"/>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3" level="32767"/>
    <cacheField name="[Calendar_Table].[Date (Month)].[Date (Month)]" caption="Date (Month)"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0"/>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3"/>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omp10" refreshedDate="45994.371647106484" createdVersion="5" refreshedVersion="8" minRefreshableVersion="3" recordCount="0" supportSubquery="1" supportAdvancedDrill="1" xr:uid="{062B02C1-0BF6-4E5C-99B5-AE3BE1EAA4AB}">
  <cacheSource type="external" connectionId="3"/>
  <cacheFields count="3">
    <cacheField name="[Calendar_Table].[Date (Year)].[Date (Year)]" caption="Date (Year)" numFmtId="0" hierarchy="1" level="1">
      <sharedItems count="1">
        <s v="2024"/>
      </sharedItems>
    </cacheField>
    <cacheField name="[Calendar_Table].[Date (Quarter)].[Date (Quarter)]" caption="Date (Quarter)" numFmtId="0" hierarchy="2" level="1">
      <sharedItems count="1">
        <s v="Qtr2"/>
      </sharedItems>
    </cacheField>
    <cacheField name="[Calendar_Table].[Date (Month)].[Date (Month)]" caption="Date (Month)" numFmtId="0" hierarchy="3" level="1">
      <sharedItems count="1">
        <s v="Apr"/>
      </sharedItems>
    </cacheField>
  </cacheFields>
  <cacheHierarchies count="34">
    <cacheHierarchy uniqueName="[Calendar_Table].[Date]" caption="Date" attribute="1" time="1" defaultMemberUniqueName="[Calendar_Table].[Date].[All]" allUniqueName="[Calendar_Table].[Date].[All]" dimensionUniqueName="[Calendar_Table]" displayFolder="" count="2" memberValueDatatype="7"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0"/>
      </fieldsUsage>
    </cacheHierarchy>
    <cacheHierarchy uniqueName="[Calendar_Table].[Date (Quarter)]" caption="Date (Quarter)" attribute="1" defaultMemberUniqueName="[Calendar_Table].[Date (Quarter)].[All]" allUniqueName="[Calendar_Table].[Date (Quarter)].[All]" dimensionUniqueName="[Calendar_Table]" displayFolder="" count="2" memberValueDatatype="130" unbalanced="0">
      <fieldsUsage count="2">
        <fieldUsage x="-1"/>
        <fieldUsage x="1"/>
      </fieldsUsage>
    </cacheHierarchy>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2"/>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ar_Table].[Date (Day Index)]" caption="Date (Day Index)" attribute="1" defaultMemberUniqueName="[Calendar_Table].[Date (Day Index)].[All]" allUniqueName="[Calendar_Table].[Date (Day Index)].[All]" dimensionUniqueName="[Calendar_Table]" displayFolder="" count="2"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omp10" refreshedDate="45992.830172685186" createdVersion="3" refreshedVersion="8" minRefreshableVersion="3" recordCount="0" supportSubquery="1" supportAdvancedDrill="1" xr:uid="{59C0F79D-DED3-4B48-B036-D5F359CB4AFA}">
  <cacheSource type="external" connectionId="3">
    <extLst>
      <ext xmlns:x14="http://schemas.microsoft.com/office/spreadsheetml/2009/9/main" uri="{F057638F-6D5F-4e77-A914-E7F072B9BCA8}">
        <x14:sourceConnection name="ThisWorkbookDataModel"/>
      </ext>
    </extLst>
  </cacheSource>
  <cacheFields count="0"/>
  <cacheHierarchies count="29">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slicerData="1" pivotCacheId="147512024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00A6CDF-8343-4328-8D57-C92A79CB6621}" name="PivotTable3" cacheId="504" applyNumberFormats="0" applyBorderFormats="0" applyFontFormats="0" applyPatternFormats="0" applyAlignmentFormats="0" applyWidthHeightFormats="1" dataCaption="Values" tag="3d353008-87f0-4be3-a619-b4d42ff219f6" updatedVersion="8" minRefreshableVersion="3" subtotalHiddenItems="1" itemPrintTitles="1" createdVersion="5" indent="0" outline="1" outlineData="1" multipleFieldFilters="0">
  <location ref="A9:A10"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68">
      <pivotArea outline="0" collapsedLevelsAreSubtotals="1" fieldPosition="0"/>
    </format>
  </formats>
  <pivotHierarchies count="34">
    <pivotHierarchy dragToData="1"/>
    <pivotHierarchy multipleItemSelectionAllowed="1" dragToData="1">
      <members count="1" level="1">
        <member name="[Calendar_Table].[Date (Year)].&amp;[2024]"/>
      </members>
    </pivotHierarchy>
    <pivotHierarchy dragToData="1"/>
    <pivotHierarchy multipleItemSelectionAllowed="1" dragToData="1">
      <members count="1" level="1">
        <member name="[Calendar_Table].[Date (Month)].&amp;[Ap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ECE4903-A7BC-4CD7-86AF-4ECE2FFE6D0E}" name="PivotTable7" cacheId="516" applyNumberFormats="0" applyBorderFormats="0" applyFontFormats="0" applyPatternFormats="0" applyAlignmentFormats="0" applyWidthHeightFormats="1" dataCaption="Values" tag="140474cf-9c07-4fb7-b693-5bc7a247136d" updatedVersion="8" minRefreshableVersion="3" subtotalHiddenItems="1" itemPrintTitles="1" createdVersion="5" indent="0" outline="1" outlineData="1" multipleFieldFilters="0" chartFormat="26">
  <location ref="A39:C42" firstHeaderRow="0"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3">
    <i>
      <x/>
    </i>
    <i>
      <x v="1"/>
    </i>
    <i t="grand">
      <x/>
    </i>
  </rowItems>
  <colFields count="1">
    <field x="-2"/>
  </colFields>
  <colItems count="2">
    <i>
      <x/>
    </i>
    <i i="1">
      <x v="1"/>
    </i>
  </colItems>
  <dataFields count="2">
    <dataField name="Count of Patient Admission Flag" fld="2" subtotal="count" baseField="0" baseItem="0"/>
    <dataField name="Count of Patient Admission Flag2" fld="4" subtotal="count" showDataAs="percentOfTotal" baseField="0" baseItem="0" numFmtId="10">
      <extLst>
        <ext xmlns:x14="http://schemas.microsoft.com/office/spreadsheetml/2009/9/main" uri="{E15A36E0-9728-4e99-A89B-3F7291B0FE68}">
          <x14:dataField sourceField="2" uniqueName="[__Xl2].[Measures].[Count of Patient Admission Flag]"/>
        </ext>
      </extLst>
    </dataField>
  </dataFields>
  <formats count="1">
    <format dxfId="69">
      <pivotArea collapsedLevelsAreSubtotals="1" fieldPosition="0">
        <references count="2">
          <reference field="4294967294" count="1" selected="0">
            <x v="1"/>
          </reference>
          <reference field="1" count="0"/>
        </references>
      </pivotArea>
    </format>
  </formats>
  <chartFormats count="4">
    <chartFormat chart="22" format="0" series="1">
      <pivotArea type="data" outline="0" fieldPosition="0">
        <references count="1">
          <reference field="4294967294" count="1" selected="0">
            <x v="0"/>
          </reference>
        </references>
      </pivotArea>
    </chartFormat>
    <chartFormat chart="22" format="1" series="1">
      <pivotArea type="data" outline="0" fieldPosition="0">
        <references count="1">
          <reference field="4294967294" count="1" selected="0">
            <x v="1"/>
          </reference>
        </references>
      </pivotArea>
    </chartFormat>
    <chartFormat chart="22" format="2">
      <pivotArea type="data" outline="0" fieldPosition="0">
        <references count="2">
          <reference field="4294967294" count="1" selected="0">
            <x v="1"/>
          </reference>
          <reference field="1" count="1" selected="0">
            <x v="1"/>
          </reference>
        </references>
      </pivotArea>
    </chartFormat>
    <chartFormat chart="22" format="3">
      <pivotArea type="data" outline="0" fieldPosition="0">
        <references count="2">
          <reference field="4294967294" count="1" selected="0">
            <x v="1"/>
          </reference>
          <reference field="1" count="1" selected="0">
            <x v="0"/>
          </reference>
        </references>
      </pivotArea>
    </chartFormat>
  </chartFormats>
  <pivotHierarchies count="35">
    <pivotHierarchy dragToData="1"/>
    <pivotHierarchy multipleItemSelectionAllowed="1" dragToData="1">
      <members count="1" level="1">
        <member name="[Calendar_Table].[Date (Year)].&amp;[2024]"/>
      </members>
    </pivotHierarchy>
    <pivotHierarchy dragToData="1"/>
    <pivotHierarchy multipleItemSelectionAllowed="1" dragToData="1">
      <members count="1" level="1">
        <member name="[Calendar_Table].[Date (Month)].&amp;[Ap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C0DDB5A-6872-4AD5-A1AE-2E72D2AB3859}" name="PivotTable12" cacheId="531" applyNumberFormats="0" applyBorderFormats="0" applyFontFormats="0" applyPatternFormats="0" applyAlignmentFormats="0" applyWidthHeightFormats="1" dataCaption="Values" tag="140474cf-9c07-4fb7-b693-5bc7a247136d" updatedVersion="8" minRefreshableVersion="3" subtotalHiddenItems="1" itemPrintTitles="1" createdVersion="5" indent="0" outline="1" outlineData="1" multipleFieldFilters="0" chartFormat="25">
  <location ref="A95:A99" firstHeaderRow="1" firstDataRow="1" firstDataCol="1"/>
  <pivotFields count="3">
    <pivotField axis="axisRow" allDrilled="1" subtotalTop="0" showAll="0" dataSourceSort="1" defaultSubtotal="0" defaultAttributeDrillState="1">
      <items count="1">
        <item s="1" x="0"/>
      </items>
    </pivotField>
    <pivotField axis="axisRow" allDrilled="1" subtotalTop="0" showAll="0" dataSourceSort="1" defaultSubtotal="0" defaultAttributeDrillState="1">
      <items count="1">
        <item x="0"/>
      </items>
    </pivotField>
    <pivotField axis="axisRow" allDrilled="1" subtotalTop="0" showAll="0" dataSourceSort="1" defaultSubtotal="0" defaultAttributeDrillState="1">
      <items count="1">
        <item s="1" x="0"/>
      </items>
    </pivotField>
  </pivotFields>
  <rowFields count="3">
    <field x="0"/>
    <field x="1"/>
    <field x="2"/>
  </rowFields>
  <rowItems count="4">
    <i>
      <x/>
    </i>
    <i r="1">
      <x/>
    </i>
    <i r="2">
      <x/>
    </i>
    <i t="grand">
      <x/>
    </i>
  </rowItems>
  <pivotHierarchies count="34">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3">
    <rowHierarchyUsage hierarchyUsage="1"/>
    <rowHierarchyUsage hierarchyUsage="2"/>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7FF022B-47A3-4346-BB1B-B2CB44FAB3E1}" name="PivotTable11" cacheId="528" applyNumberFormats="0" applyBorderFormats="0" applyFontFormats="0" applyPatternFormats="0" applyAlignmentFormats="0" applyWidthHeightFormats="1" dataCaption="Values" tag="140474cf-9c07-4fb7-b693-5bc7a247136d" updatedVersion="8" minRefreshableVersion="3" subtotalHiddenItems="1" itemPrintTitles="1" createdVersion="5" indent="0" outline="1" outlineData="1" multipleFieldFilters="0" chartFormat="25">
  <location ref="A81:B90" firstHeaderRow="1" firstDataRow="1" firstDataCol="1"/>
  <pivotFields count="4">
    <pivotField allDrilled="1" subtotalTop="0" showAll="0" dataSourceSort="1" defaultSubtotal="0" defaultAttributeDrillState="1"/>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9">
    <i>
      <x v="7"/>
    </i>
    <i>
      <x v="1"/>
    </i>
    <i>
      <x v="3"/>
    </i>
    <i>
      <x/>
    </i>
    <i>
      <x v="6"/>
    </i>
    <i>
      <x v="5"/>
    </i>
    <i>
      <x v="2"/>
    </i>
    <i>
      <x v="4"/>
    </i>
    <i t="grand">
      <x/>
    </i>
  </rowItems>
  <colItems count="1">
    <i/>
  </colItems>
  <dataFields count="1">
    <dataField name="Count of Department Referral" fld="2" subtotal="count" baseField="0" baseItem="0"/>
  </dataFields>
  <chartFormats count="2">
    <chartFormat chart="19" format="0"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Year)].&amp;[2024]"/>
      </members>
    </pivotHierarchy>
    <pivotHierarchy dragToData="1"/>
    <pivotHierarchy multipleItemSelectionAllowed="1" dragToData="1">
      <members count="1" level="1">
        <member name="[Calendar_Table].[Date (Month)].&amp;[Ap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120441A-622E-4B8E-AC1B-FE291D4C5F10}" name="PivotTable1" cacheId="501" applyNumberFormats="0" applyBorderFormats="0" applyFontFormats="0" applyPatternFormats="0" applyAlignmentFormats="0" applyWidthHeightFormats="1" dataCaption="Values" tag="140474cf-9c07-4fb7-b693-5bc7a247136d" updatedVersion="8" minRefreshableVersion="3" subtotalHiddenItems="1" itemPrintTitles="1" createdVersion="5" indent="0" outline="1" outlineData="1" multipleFieldFilters="0">
  <location ref="A4:A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4">
    <pivotHierarchy dragToData="1"/>
    <pivotHierarchy multipleItemSelectionAllowed="1" dragToData="1">
      <members count="1" level="1">
        <member name="[Calendar_Table].[Date (Year)].&amp;[2024]"/>
      </members>
    </pivotHierarchy>
    <pivotHierarchy dragToData="1"/>
    <pivotHierarchy multipleItemSelectionAllowed="1" dragToData="1">
      <members count="1" level="1">
        <member name="[Calendar_Table].[Date (Month)].&amp;[Ap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416A1C6-6C33-4D79-B415-A6B6CBE3C86C}" name="PivotTable6" cacheId="513" applyNumberFormats="0" applyBorderFormats="0" applyFontFormats="0" applyPatternFormats="0" applyAlignmentFormats="0" applyWidthHeightFormats="1" dataCaption="Values" tag="140474cf-9c07-4fb7-b693-5bc7a247136d" updatedVersion="8" minRefreshableVersion="3" subtotalHiddenItems="1" itemPrintTitles="1" createdVersion="5" indent="0" outline="1" outlineData="1" multipleFieldFilters="0" chartFormat="33">
  <location ref="L5:M36" firstHeaderRow="1" firstDataRow="1" firstDataCol="1"/>
  <pivotFields count="4">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allDrilled="1" subtotalTop="0" showAll="0" dataSourceSort="1" defaultSubtotal="0" defaultAttributeDrillState="1"/>
    <pivotField dataField="1" subtotalTop="0" showAll="0" defaultSubtotal="0"/>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Average of Patient Satisfaction Score" fld="3" subtotal="average" baseField="0" baseItem="0"/>
  </dataFields>
  <formats count="1">
    <format dxfId="70">
      <pivotArea collapsedLevelsAreSubtotals="1" fieldPosition="0">
        <references count="1">
          <reference field="0" count="0"/>
        </references>
      </pivotArea>
    </format>
  </formats>
  <chartFormats count="2">
    <chartFormat chart="21" format="2" series="1">
      <pivotArea type="data" outline="0" fieldPosition="0">
        <references count="1">
          <reference field="4294967294" count="1" selected="0">
            <x v="0"/>
          </reference>
        </references>
      </pivotArea>
    </chartFormat>
    <chartFormat chart="31"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Year)].&amp;[2024]"/>
      </members>
    </pivotHierarchy>
    <pivotHierarchy dragToData="1"/>
    <pivotHierarchy multipleItemSelectionAllowed="1" dragToData="1">
      <members count="1" level="1">
        <member name="[Calendar_Table].[Date (Month)].&amp;[Ap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126ED36-E654-4611-98C9-A4F9C79DD8A3}" name="PivotTable10" cacheId="525" applyNumberFormats="0" applyBorderFormats="0" applyFontFormats="0" applyPatternFormats="0" applyAlignmentFormats="0" applyWidthHeightFormats="1" dataCaption="Values" tag="140474cf-9c07-4fb7-b693-5bc7a247136d" updatedVersion="8" minRefreshableVersion="3" subtotalHiddenItems="1" itemPrintTitles="1" createdVersion="5" indent="0" outline="1" outlineData="1" multipleFieldFilters="0" chartFormat="19">
  <location ref="A74:B77"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Gender" fld="2" subtotal="count" baseField="0" baseItem="0"/>
  </dataFields>
  <chartFormats count="3">
    <chartFormat chart="18" format="5" series="1">
      <pivotArea type="data" outline="0" fieldPosition="0">
        <references count="1">
          <reference field="4294967294" count="1" selected="0">
            <x v="0"/>
          </reference>
        </references>
      </pivotArea>
    </chartFormat>
    <chartFormat chart="18" format="6">
      <pivotArea type="data" outline="0" fieldPosition="0">
        <references count="2">
          <reference field="4294967294" count="1" selected="0">
            <x v="0"/>
          </reference>
          <reference field="1" count="1" selected="0">
            <x v="0"/>
          </reference>
        </references>
      </pivotArea>
    </chartFormat>
    <chartFormat chart="18" format="7">
      <pivotArea type="data" outline="0" fieldPosition="0">
        <references count="2">
          <reference field="4294967294" count="1" selected="0">
            <x v="0"/>
          </reference>
          <reference field="1" count="1" selected="0">
            <x v="1"/>
          </reference>
        </references>
      </pivotArea>
    </chartFormat>
  </chartFormats>
  <pivotHierarchies count="34">
    <pivotHierarchy dragToData="1"/>
    <pivotHierarchy multipleItemSelectionAllowed="1" dragToData="1">
      <members count="1" level="1">
        <member name="[Calendar_Table].[Date (Year)].&amp;[2024]"/>
      </members>
    </pivotHierarchy>
    <pivotHierarchy dragToData="1"/>
    <pivotHierarchy multipleItemSelectionAllowed="1" dragToData="1">
      <members count="1" level="1">
        <member name="[Calendar_Table].[Date (Month)].&amp;[Ap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56444EF-200E-4C33-9E94-1D66F176BFB1}" name="PivotTable2" cacheId="498" applyNumberFormats="0" applyBorderFormats="0" applyFontFormats="0" applyPatternFormats="0" applyAlignmentFormats="0" applyWidthHeightFormats="1" dataCaption="Values" tag="140474cf-9c07-4fb7-b693-5bc7a247136d" updatedVersion="8" minRefreshableVersion="3" subtotalHiddenItems="1" itemPrintTitles="1" createdVersion="5" indent="0" outline="1" outlineData="1" multipleFieldFilters="0" chartFormat="19">
  <location ref="E4:F35" firstHeaderRow="1" firstDataRow="1" firstDataCol="1"/>
  <pivotFields count="4">
    <pivotField dataField="1" subtotalTop="0" showAll="0" defaultSubtotal="0"/>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2">
    <chartFormat chart="3" format="2"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Year)].&amp;[2024]"/>
      </members>
    </pivotHierarchy>
    <pivotHierarchy dragToData="1"/>
    <pivotHierarchy multipleItemSelectionAllowed="1" dragToData="1">
      <members count="1" level="1">
        <member name="[Calendar_Table].[Date (Month)].&amp;[Ap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33781FC-D62D-4203-BD13-14B282E5EB56}" name="PivotTable5" cacheId="510" applyNumberFormats="0" applyBorderFormats="0" applyFontFormats="0" applyPatternFormats="0" applyAlignmentFormats="0" applyWidthHeightFormats="1" dataCaption="Values" tag="140474cf-9c07-4fb7-b693-5bc7a247136d" updatedVersion="8" minRefreshableVersion="3" subtotalHiddenItems="1" itemPrintTitles="1" createdVersion="5" indent="0" outline="1" outlineData="1" multipleFieldFilters="0" chartFormat="32">
  <location ref="I5:J36" firstHeaderRow="1" firstDataRow="1" firstDataCol="1"/>
  <pivotFields count="4">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Average of Patient Waittime" fld="2" subtotal="average" baseField="0" baseItem="0"/>
  </dataFields>
  <formats count="1">
    <format dxfId="71">
      <pivotArea collapsedLevelsAreSubtotals="1" fieldPosition="0">
        <references count="1">
          <reference field="0" count="0"/>
        </references>
      </pivotArea>
    </format>
  </formats>
  <chartFormats count="2">
    <chartFormat chart="17" format="2" series="1">
      <pivotArea type="data" outline="0" fieldPosition="0">
        <references count="1">
          <reference field="4294967294" count="1" selected="0">
            <x v="0"/>
          </reference>
        </references>
      </pivotArea>
    </chartFormat>
    <chartFormat chart="19" format="4"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Year)].&amp;[2024]"/>
      </members>
    </pivotHierarchy>
    <pivotHierarchy dragToData="1"/>
    <pivotHierarchy multipleItemSelectionAllowed="1" dragToData="1">
      <members count="1" level="1">
        <member name="[Calendar_Table].[Date (Month)].&amp;[Ap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F431A36-21CD-4DEC-BE2A-4BA42EC339AB}" name="PivotTable9" cacheId="522" applyNumberFormats="0" applyBorderFormats="0" applyFontFormats="0" applyPatternFormats="0" applyAlignmentFormats="0" applyWidthHeightFormats="1" dataCaption="Values" tag="140474cf-9c07-4fb7-b693-5bc7a247136d" updatedVersion="8" minRefreshableVersion="3" subtotalHiddenItems="1" itemPrintTitles="1" createdVersion="5" indent="0" outline="1" outlineData="1" multipleFieldFilters="0" chartFormat="15">
  <location ref="A66:B69"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Attend Status" fld="2" subtotal="count" baseField="0" baseItem="0"/>
  </dataFields>
  <chartFormats count="3">
    <chartFormat chart="13" format="6" series="1">
      <pivotArea type="data" outline="0" fieldPosition="0">
        <references count="1">
          <reference field="4294967294" count="1" selected="0">
            <x v="0"/>
          </reference>
        </references>
      </pivotArea>
    </chartFormat>
    <chartFormat chart="13" format="7">
      <pivotArea type="data" outline="0" fieldPosition="0">
        <references count="2">
          <reference field="4294967294" count="1" selected="0">
            <x v="0"/>
          </reference>
          <reference field="1" count="1" selected="0">
            <x v="0"/>
          </reference>
        </references>
      </pivotArea>
    </chartFormat>
    <chartFormat chart="13" format="8">
      <pivotArea type="data" outline="0" fieldPosition="0">
        <references count="2">
          <reference field="4294967294" count="1" selected="0">
            <x v="0"/>
          </reference>
          <reference field="1" count="1" selected="0">
            <x v="1"/>
          </reference>
        </references>
      </pivotArea>
    </chartFormat>
  </chartFormats>
  <pivotHierarchies count="34">
    <pivotHierarchy dragToData="1"/>
    <pivotHierarchy multipleItemSelectionAllowed="1" dragToData="1">
      <members count="1" level="1">
        <member name="[Calendar_Table].[Date (Year)].&amp;[2024]"/>
      </members>
    </pivotHierarchy>
    <pivotHierarchy dragToData="1"/>
    <pivotHierarchy multipleItemSelectionAllowed="1" dragToData="1">
      <members count="1" level="1">
        <member name="[Calendar_Table].[Date (Month)].&amp;[Ap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7A617C7-AE28-4279-87E6-05EE13A31A11}" name="PivotTable4" cacheId="507" applyNumberFormats="0" applyBorderFormats="0" applyFontFormats="0" applyPatternFormats="0" applyAlignmentFormats="0" applyWidthHeightFormats="1" dataCaption="Values" tag="423cf8bc-336d-43c7-8fd1-1bf9853fd5ef" updatedVersion="8" minRefreshableVersion="3" subtotalHiddenItems="1" itemPrintTitles="1" createdVersion="5" indent="0" outline="1" outlineData="1" multipleFieldFilters="0">
  <location ref="A15:A16"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72">
      <pivotArea outline="0" collapsedLevelsAreSubtotals="1" fieldPosition="0"/>
    </format>
  </formats>
  <pivotHierarchies count="34">
    <pivotHierarchy dragToData="1"/>
    <pivotHierarchy multipleItemSelectionAllowed="1" dragToData="1">
      <members count="1" level="1">
        <member name="[Calendar_Table].[Date (Year)].&amp;[2024]"/>
      </members>
    </pivotHierarchy>
    <pivotHierarchy dragToData="1"/>
    <pivotHierarchy multipleItemSelectionAllowed="1" dragToData="1">
      <members count="1" level="1">
        <member name="[Calendar_Table].[Date (Month)].&amp;[Ap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F32C1C4-AB13-44D1-A488-465FD114FDBB}" name="PivotTable8" cacheId="519" applyNumberFormats="0" applyBorderFormats="0" applyFontFormats="0" applyPatternFormats="0" applyAlignmentFormats="0" applyWidthHeightFormats="1" dataCaption="Values" tag="140474cf-9c07-4fb7-b693-5bc7a247136d" updatedVersion="8" minRefreshableVersion="3" subtotalHiddenItems="1" itemPrintTitles="1" createdVersion="5" indent="0" outline="1" outlineData="1" multipleFieldFilters="0" chartFormat="10">
  <location ref="A54:B63"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8">
        <item x="0"/>
        <item x="1"/>
        <item x="2"/>
        <item x="3"/>
        <item x="4"/>
        <item x="5"/>
        <item x="6"/>
        <item x="7"/>
      </items>
    </pivotField>
    <pivotField allDrilled="1" subtotalTop="0" showAll="0" dataSourceSort="1" defaultSubtotal="0" defaultAttributeDrillState="1"/>
  </pivotFields>
  <rowFields count="1">
    <field x="2"/>
  </rowFields>
  <rowItems count="9">
    <i>
      <x/>
    </i>
    <i>
      <x v="1"/>
    </i>
    <i>
      <x v="2"/>
    </i>
    <i>
      <x v="3"/>
    </i>
    <i>
      <x v="4"/>
    </i>
    <i>
      <x v="5"/>
    </i>
    <i>
      <x v="6"/>
    </i>
    <i>
      <x v="7"/>
    </i>
    <i t="grand">
      <x/>
    </i>
  </rowItems>
  <colItems count="1">
    <i/>
  </colItems>
  <dataFields count="1">
    <dataField name="Count of Age Group" fld="1" subtotal="count" baseField="0" baseItem="0"/>
  </dataFields>
  <chartFormats count="1">
    <chartFormat chart="8"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Year)].&amp;[2024]"/>
      </members>
    </pivotHierarchy>
    <pivotHierarchy dragToData="1"/>
    <pivotHierarchy multipleItemSelectionAllowed="1" dragToData="1">
      <members count="1" level="1">
        <member name="[Calendar_Table].[Date (Month)].&amp;[Ap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CE0A50F0-2DA7-4486-B4F7-1C02FD98866E}" sourceName="[Calendar_Table].[Date (Month)]">
  <pivotTables>
    <pivotTable tabId="1" name="PivotTable2"/>
    <pivotTable tabId="1" name="PivotTable1"/>
    <pivotTable tabId="1" name="PivotTable3"/>
    <pivotTable tabId="1" name="PivotTable4"/>
    <pivotTable tabId="1" name="PivotTable5"/>
    <pivotTable tabId="1" name="PivotTable6"/>
    <pivotTable tabId="1" name="PivotTable7"/>
    <pivotTable tabId="1" name="PivotTable8"/>
    <pivotTable tabId="1" name="PivotTable9"/>
    <pivotTable tabId="1" name="PivotTable10"/>
    <pivotTable tabId="1" name="PivotTable11"/>
    <pivotTable tabId="1" name="PivotTable12"/>
  </pivotTables>
  <data>
    <olap pivotCacheId="1475120247">
      <levels count="2">
        <level uniqueName="[Calendar_Table].[Date (Month)].[(All)]" sourceCaption="(All)" count="0"/>
        <level uniqueName="[Calendar_Table].[Date (Month)].[Date (Month)]" sourceCaption="Date (Month)" count="12">
          <ranges>
            <range startItem="0">
              <i n="[Calendar_Table].[Date (Month)].&amp;[Jan]" c="Jan"/>
              <i n="[Calendar_Table].[Date (Month)].&amp;[Feb]" c="Feb"/>
              <i n="[Calendar_Table].[Date (Month)].&amp;[Mar]" c="Mar"/>
              <i n="[Calendar_Table].[Date (Month)].&amp;[Apr]" c="Apr"/>
              <i n="[Calendar_Table].[Date (Month)].&amp;[May]" c="May"/>
              <i n="[Calendar_Table].[Date (Month)].&amp;[Jun]" c="Jun"/>
              <i n="[Calendar_Table].[Date (Month)].&amp;[Jul]" c="Jul"/>
              <i n="[Calendar_Table].[Date (Month)].&amp;[Aug]" c="Aug"/>
              <i n="[Calendar_Table].[Date (Month)].&amp;[Sep]" c="Sep"/>
              <i n="[Calendar_Table].[Date (Month)].&amp;[Oct]" c="Oct"/>
              <i n="[Calendar_Table].[Date (Month)].&amp;[Nov]" c="Nov"/>
              <i n="[Calendar_Table].[Date (Month)].&amp;[Dec]" c="Dec"/>
            </range>
          </ranges>
        </level>
      </levels>
      <selections count="1">
        <selection n="[Calendar_Table].[Date (Month)].&amp;[Apr]"/>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D895E599-6395-4159-BA85-4AA90AE7646C}" sourceName="[Calendar_Table].[Date (Year)]">
  <pivotTables>
    <pivotTable tabId="1" name="PivotTable12"/>
    <pivotTable tabId="1" name="PivotTable1"/>
    <pivotTable tabId="1" name="PivotTable10"/>
    <pivotTable tabId="1" name="PivotTable11"/>
    <pivotTable tabId="1" name="PivotTable2"/>
    <pivotTable tabId="1" name="PivotTable3"/>
    <pivotTable tabId="1" name="PivotTable4"/>
    <pivotTable tabId="1" name="PivotTable5"/>
    <pivotTable tabId="1" name="PivotTable7"/>
    <pivotTable tabId="1" name="PivotTable8"/>
    <pivotTable tabId="1" name="PivotTable9"/>
  </pivotTables>
  <data>
    <olap pivotCacheId="1475120247">
      <levels count="2">
        <level uniqueName="[Calendar_Table].[Date (Year)].[(All)]" sourceCaption="(All)" count="0"/>
        <level uniqueName="[Calendar_Table].[Date (Year)].[Date (Year)]" sourceCaption="Date (Year)" count="2">
          <ranges>
            <range startItem="0">
              <i n="[Calendar_Table].[Date (Year)].&amp;[2023]" c="2023"/>
              <i n="[Calendar_Table].[Date (Year)].&amp;[2024]" c="2024"/>
            </range>
          </ranges>
        </level>
      </levels>
      <selections count="1">
        <selection n="[Calendar_Table].[Date (Year)].&amp;[202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1" xr10:uid="{9B60F75F-CD24-47BB-B467-8AD77859FF5C}" cache="Slicer_Date__Month" caption="Date (Month)" showCaption="0" level="1" style="My Style2" rowHeight="144000"/>
  <slicer name="Date (Year)" xr10:uid="{9D94E357-9479-4474-9E69-58029D46837E}" cache="Slicer_Date__Year" caption="Date (Year)" columnCount="2" showCaption="0" level="1" style="My Style2" rowHeight="23495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4.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D57BEA-E035-4C0E-98F6-19A4F6A7902B}">
  <dimension ref="A3:M99"/>
  <sheetViews>
    <sheetView topLeftCell="A84" workbookViewId="0">
      <selection activeCell="A95" sqref="A95"/>
    </sheetView>
  </sheetViews>
  <sheetFormatPr defaultRowHeight="14.4" x14ac:dyDescent="0.3"/>
  <cols>
    <col min="1" max="1" width="23.88671875" customWidth="1"/>
    <col min="2" max="2" width="14.33203125" customWidth="1"/>
    <col min="3" max="3" width="8.21875" customWidth="1"/>
    <col min="4" max="4" width="20.21875" customWidth="1"/>
    <col min="5" max="5" width="13.88671875" customWidth="1"/>
    <col min="6" max="6" width="23" customWidth="1"/>
    <col min="9" max="9" width="13.77734375" customWidth="1"/>
    <col min="10" max="10" width="23.6640625" customWidth="1"/>
    <col min="12" max="12" width="15.77734375" customWidth="1"/>
    <col min="13" max="13" width="23" customWidth="1"/>
  </cols>
  <sheetData>
    <row r="3" spans="1:13" x14ac:dyDescent="0.3">
      <c r="A3" t="s">
        <v>1</v>
      </c>
      <c r="E3" t="s">
        <v>6</v>
      </c>
    </row>
    <row r="4" spans="1:13" x14ac:dyDescent="0.3">
      <c r="A4" t="s">
        <v>0</v>
      </c>
      <c r="E4" s="4" t="s">
        <v>5</v>
      </c>
      <c r="F4" t="s">
        <v>0</v>
      </c>
      <c r="I4" t="s">
        <v>7</v>
      </c>
      <c r="L4" t="s">
        <v>8</v>
      </c>
    </row>
    <row r="5" spans="1:13" x14ac:dyDescent="0.3">
      <c r="A5" s="1">
        <v>469</v>
      </c>
      <c r="E5" s="5" t="s">
        <v>16</v>
      </c>
      <c r="F5" s="1">
        <v>12</v>
      </c>
      <c r="I5" s="4" t="s">
        <v>5</v>
      </c>
      <c r="J5" t="s">
        <v>2</v>
      </c>
      <c r="L5" s="4" t="s">
        <v>5</v>
      </c>
      <c r="M5" t="s">
        <v>3</v>
      </c>
    </row>
    <row r="6" spans="1:13" x14ac:dyDescent="0.3">
      <c r="E6" s="5" t="s">
        <v>17</v>
      </c>
      <c r="F6" s="1">
        <v>19</v>
      </c>
      <c r="I6" s="5" t="s">
        <v>16</v>
      </c>
      <c r="J6" s="2">
        <v>31.833333333333332</v>
      </c>
      <c r="L6" s="5" t="s">
        <v>16</v>
      </c>
      <c r="M6" s="2">
        <v>3.8</v>
      </c>
    </row>
    <row r="7" spans="1:13" x14ac:dyDescent="0.3">
      <c r="E7" s="5" t="s">
        <v>18</v>
      </c>
      <c r="F7" s="1">
        <v>17</v>
      </c>
      <c r="I7" s="5" t="s">
        <v>17</v>
      </c>
      <c r="J7" s="2">
        <v>39.368421052631582</v>
      </c>
      <c r="L7" s="5" t="s">
        <v>17</v>
      </c>
      <c r="M7" s="2">
        <v>6</v>
      </c>
    </row>
    <row r="8" spans="1:13" x14ac:dyDescent="0.3">
      <c r="E8" s="5" t="s">
        <v>19</v>
      </c>
      <c r="F8" s="1">
        <v>20</v>
      </c>
      <c r="I8" s="5" t="s">
        <v>18</v>
      </c>
      <c r="J8" s="2">
        <v>32.352941176470587</v>
      </c>
      <c r="L8" s="5" t="s">
        <v>18</v>
      </c>
      <c r="M8" s="2">
        <v>4.5999999999999996</v>
      </c>
    </row>
    <row r="9" spans="1:13" x14ac:dyDescent="0.3">
      <c r="A9" t="s">
        <v>2</v>
      </c>
      <c r="E9" s="5" t="s">
        <v>20</v>
      </c>
      <c r="F9" s="1">
        <v>15</v>
      </c>
      <c r="I9" s="5" t="s">
        <v>19</v>
      </c>
      <c r="J9" s="2">
        <v>34.049999999999997</v>
      </c>
      <c r="L9" s="5" t="s">
        <v>19</v>
      </c>
      <c r="M9" s="2">
        <v>5.7142857142857144</v>
      </c>
    </row>
    <row r="10" spans="1:13" x14ac:dyDescent="0.3">
      <c r="A10" s="2">
        <v>35.044776119402982</v>
      </c>
      <c r="E10" s="5" t="s">
        <v>21</v>
      </c>
      <c r="F10" s="1">
        <v>17</v>
      </c>
      <c r="I10" s="5" t="s">
        <v>20</v>
      </c>
      <c r="J10" s="2">
        <v>31.8</v>
      </c>
      <c r="L10" s="5" t="s">
        <v>20</v>
      </c>
      <c r="M10" s="2">
        <v>4.666666666666667</v>
      </c>
    </row>
    <row r="11" spans="1:13" x14ac:dyDescent="0.3">
      <c r="E11" s="5" t="s">
        <v>22</v>
      </c>
      <c r="F11" s="1">
        <v>16</v>
      </c>
      <c r="I11" s="5" t="s">
        <v>21</v>
      </c>
      <c r="J11" s="2">
        <v>37.823529411764703</v>
      </c>
      <c r="L11" s="5" t="s">
        <v>21</v>
      </c>
      <c r="M11" s="2">
        <v>3.4</v>
      </c>
    </row>
    <row r="12" spans="1:13" x14ac:dyDescent="0.3">
      <c r="E12" s="5" t="s">
        <v>23</v>
      </c>
      <c r="F12" s="1">
        <v>10</v>
      </c>
      <c r="I12" s="5" t="s">
        <v>22</v>
      </c>
      <c r="J12" s="2">
        <v>31.875</v>
      </c>
      <c r="L12" s="5" t="s">
        <v>22</v>
      </c>
      <c r="M12" s="2">
        <v>5</v>
      </c>
    </row>
    <row r="13" spans="1:13" x14ac:dyDescent="0.3">
      <c r="E13" s="5" t="s">
        <v>24</v>
      </c>
      <c r="F13" s="1">
        <v>15</v>
      </c>
      <c r="I13" s="5" t="s">
        <v>23</v>
      </c>
      <c r="J13" s="2">
        <v>27.3</v>
      </c>
      <c r="L13" s="5" t="s">
        <v>23</v>
      </c>
      <c r="M13" s="2">
        <v>5.8571428571428568</v>
      </c>
    </row>
    <row r="14" spans="1:13" x14ac:dyDescent="0.3">
      <c r="E14" s="5" t="s">
        <v>25</v>
      </c>
      <c r="F14" s="1">
        <v>14</v>
      </c>
      <c r="I14" s="5" t="s">
        <v>24</v>
      </c>
      <c r="J14" s="2">
        <v>31.933333333333334</v>
      </c>
      <c r="L14" s="5" t="s">
        <v>24</v>
      </c>
      <c r="M14" s="2">
        <v>4.8888888888888893</v>
      </c>
    </row>
    <row r="15" spans="1:13" x14ac:dyDescent="0.3">
      <c r="A15" t="s">
        <v>3</v>
      </c>
      <c r="E15" s="5" t="s">
        <v>26</v>
      </c>
      <c r="F15" s="1">
        <v>16</v>
      </c>
      <c r="I15" s="5" t="s">
        <v>25</v>
      </c>
      <c r="J15" s="2">
        <v>30.5</v>
      </c>
      <c r="L15" s="5" t="s">
        <v>25</v>
      </c>
      <c r="M15" s="2">
        <v>6</v>
      </c>
    </row>
    <row r="16" spans="1:13" x14ac:dyDescent="0.3">
      <c r="A16" s="2">
        <v>4.6269841269841274</v>
      </c>
      <c r="E16" s="5" t="s">
        <v>27</v>
      </c>
      <c r="F16" s="1">
        <v>12</v>
      </c>
      <c r="I16" s="5" t="s">
        <v>26</v>
      </c>
      <c r="J16" s="2">
        <v>38.0625</v>
      </c>
      <c r="L16" s="5" t="s">
        <v>26</v>
      </c>
      <c r="M16" s="2">
        <v>4.7142857142857144</v>
      </c>
    </row>
    <row r="17" spans="5:13" x14ac:dyDescent="0.3">
      <c r="E17" s="5" t="s">
        <v>28</v>
      </c>
      <c r="F17" s="1">
        <v>12</v>
      </c>
      <c r="I17" s="5" t="s">
        <v>27</v>
      </c>
      <c r="J17" s="2">
        <v>36.333333333333336</v>
      </c>
      <c r="L17" s="5" t="s">
        <v>27</v>
      </c>
      <c r="M17" s="2">
        <v>7.1428571428571432</v>
      </c>
    </row>
    <row r="18" spans="5:13" x14ac:dyDescent="0.3">
      <c r="E18" s="5" t="s">
        <v>29</v>
      </c>
      <c r="F18" s="1">
        <v>13</v>
      </c>
      <c r="I18" s="5" t="s">
        <v>28</v>
      </c>
      <c r="J18" s="2">
        <v>27</v>
      </c>
      <c r="L18" s="5" t="s">
        <v>28</v>
      </c>
      <c r="M18" s="2">
        <v>4.333333333333333</v>
      </c>
    </row>
    <row r="19" spans="5:13" x14ac:dyDescent="0.3">
      <c r="E19" s="5" t="s">
        <v>30</v>
      </c>
      <c r="F19" s="1">
        <v>20</v>
      </c>
      <c r="I19" s="5" t="s">
        <v>29</v>
      </c>
      <c r="J19" s="2">
        <v>37.46153846153846</v>
      </c>
      <c r="L19" s="5" t="s">
        <v>29</v>
      </c>
      <c r="M19" s="2">
        <v>6.7333333333333334</v>
      </c>
    </row>
    <row r="20" spans="5:13" x14ac:dyDescent="0.3">
      <c r="E20" s="5" t="s">
        <v>31</v>
      </c>
      <c r="F20" s="1">
        <v>17</v>
      </c>
      <c r="I20" s="5" t="s">
        <v>30</v>
      </c>
      <c r="J20" s="2">
        <v>39.25</v>
      </c>
      <c r="L20" s="5" t="s">
        <v>30</v>
      </c>
      <c r="M20" s="2">
        <v>5.2857142857142856</v>
      </c>
    </row>
    <row r="21" spans="5:13" x14ac:dyDescent="0.3">
      <c r="E21" s="5" t="s">
        <v>32</v>
      </c>
      <c r="F21" s="1">
        <v>10</v>
      </c>
      <c r="I21" s="5" t="s">
        <v>31</v>
      </c>
      <c r="J21" s="2">
        <v>33.647058823529413</v>
      </c>
      <c r="L21" s="5" t="s">
        <v>31</v>
      </c>
      <c r="M21" s="2">
        <v>4.916666666666667</v>
      </c>
    </row>
    <row r="22" spans="5:13" x14ac:dyDescent="0.3">
      <c r="E22" s="5" t="s">
        <v>33</v>
      </c>
      <c r="F22" s="1">
        <v>16</v>
      </c>
      <c r="I22" s="5" t="s">
        <v>32</v>
      </c>
      <c r="J22" s="2">
        <v>42.2</v>
      </c>
      <c r="L22" s="5" t="s">
        <v>32</v>
      </c>
      <c r="M22" s="2">
        <v>4.333333333333333</v>
      </c>
    </row>
    <row r="23" spans="5:13" x14ac:dyDescent="0.3">
      <c r="E23" s="5" t="s">
        <v>34</v>
      </c>
      <c r="F23" s="1">
        <v>13</v>
      </c>
      <c r="I23" s="5" t="s">
        <v>33</v>
      </c>
      <c r="J23" s="2">
        <v>33.3125</v>
      </c>
      <c r="L23" s="5" t="s">
        <v>33</v>
      </c>
      <c r="M23" s="2">
        <v>5.333333333333333</v>
      </c>
    </row>
    <row r="24" spans="5:13" x14ac:dyDescent="0.3">
      <c r="E24" s="5" t="s">
        <v>35</v>
      </c>
      <c r="F24" s="1">
        <v>16</v>
      </c>
      <c r="I24" s="5" t="s">
        <v>34</v>
      </c>
      <c r="J24" s="2">
        <v>25.76923076923077</v>
      </c>
      <c r="L24" s="5" t="s">
        <v>34</v>
      </c>
      <c r="M24" s="2">
        <v>4.3636363636363633</v>
      </c>
    </row>
    <row r="25" spans="5:13" x14ac:dyDescent="0.3">
      <c r="E25" s="5" t="s">
        <v>36</v>
      </c>
      <c r="F25" s="1">
        <v>18</v>
      </c>
      <c r="I25" s="5" t="s">
        <v>35</v>
      </c>
      <c r="J25" s="2">
        <v>37.125</v>
      </c>
      <c r="L25" s="5" t="s">
        <v>35</v>
      </c>
      <c r="M25" s="2">
        <v>2.9090909090909092</v>
      </c>
    </row>
    <row r="26" spans="5:13" x14ac:dyDescent="0.3">
      <c r="E26" s="5" t="s">
        <v>37</v>
      </c>
      <c r="F26" s="1">
        <v>21</v>
      </c>
      <c r="I26" s="5" t="s">
        <v>36</v>
      </c>
      <c r="J26" s="2">
        <v>37</v>
      </c>
      <c r="L26" s="5" t="s">
        <v>36</v>
      </c>
      <c r="M26" s="2">
        <v>4.5</v>
      </c>
    </row>
    <row r="27" spans="5:13" x14ac:dyDescent="0.3">
      <c r="E27" s="5" t="s">
        <v>38</v>
      </c>
      <c r="F27" s="1">
        <v>15</v>
      </c>
      <c r="I27" s="5" t="s">
        <v>37</v>
      </c>
      <c r="J27" s="2">
        <v>36.80952380952381</v>
      </c>
      <c r="L27" s="5" t="s">
        <v>37</v>
      </c>
      <c r="M27" s="2">
        <v>6.1</v>
      </c>
    </row>
    <row r="28" spans="5:13" x14ac:dyDescent="0.3">
      <c r="E28" s="5" t="s">
        <v>39</v>
      </c>
      <c r="F28" s="1">
        <v>18</v>
      </c>
      <c r="I28" s="5" t="s">
        <v>38</v>
      </c>
      <c r="J28" s="2">
        <v>39.799999999999997</v>
      </c>
      <c r="L28" s="5" t="s">
        <v>38</v>
      </c>
      <c r="M28" s="2">
        <v>6.666666666666667</v>
      </c>
    </row>
    <row r="29" spans="5:13" x14ac:dyDescent="0.3">
      <c r="E29" s="5" t="s">
        <v>40</v>
      </c>
      <c r="F29" s="1">
        <v>15</v>
      </c>
      <c r="I29" s="5" t="s">
        <v>39</v>
      </c>
      <c r="J29" s="2">
        <v>38</v>
      </c>
      <c r="L29" s="5" t="s">
        <v>39</v>
      </c>
      <c r="M29" s="2">
        <v>5</v>
      </c>
    </row>
    <row r="30" spans="5:13" x14ac:dyDescent="0.3">
      <c r="E30" s="5" t="s">
        <v>41</v>
      </c>
      <c r="F30" s="1">
        <v>18</v>
      </c>
      <c r="I30" s="5" t="s">
        <v>40</v>
      </c>
      <c r="J30" s="2">
        <v>36.133333333333333</v>
      </c>
      <c r="L30" s="5" t="s">
        <v>40</v>
      </c>
      <c r="M30" s="2">
        <v>2.5555555555555554</v>
      </c>
    </row>
    <row r="31" spans="5:13" x14ac:dyDescent="0.3">
      <c r="E31" s="5" t="s">
        <v>42</v>
      </c>
      <c r="F31" s="1">
        <v>19</v>
      </c>
      <c r="I31" s="5" t="s">
        <v>41</v>
      </c>
      <c r="J31" s="2">
        <v>36.555555555555557</v>
      </c>
      <c r="L31" s="5" t="s">
        <v>41</v>
      </c>
      <c r="M31" s="2">
        <v>5.5714285714285712</v>
      </c>
    </row>
    <row r="32" spans="5:13" x14ac:dyDescent="0.3">
      <c r="E32" s="5" t="s">
        <v>43</v>
      </c>
      <c r="F32" s="1">
        <v>16</v>
      </c>
      <c r="I32" s="5" t="s">
        <v>42</v>
      </c>
      <c r="J32" s="2">
        <v>39.210526315789473</v>
      </c>
      <c r="L32" s="5" t="s">
        <v>42</v>
      </c>
      <c r="M32" s="2">
        <v>4.8461538461538458</v>
      </c>
    </row>
    <row r="33" spans="1:13" x14ac:dyDescent="0.3">
      <c r="E33" s="5" t="s">
        <v>44</v>
      </c>
      <c r="F33" s="1">
        <v>13</v>
      </c>
      <c r="I33" s="5" t="s">
        <v>43</v>
      </c>
      <c r="J33" s="2">
        <v>31.1875</v>
      </c>
      <c r="L33" s="5" t="s">
        <v>43</v>
      </c>
      <c r="M33" s="2">
        <v>4.8888888888888893</v>
      </c>
    </row>
    <row r="34" spans="1:13" x14ac:dyDescent="0.3">
      <c r="E34" s="5" t="s">
        <v>45</v>
      </c>
      <c r="F34" s="1">
        <v>16</v>
      </c>
      <c r="I34" s="5" t="s">
        <v>44</v>
      </c>
      <c r="J34" s="2">
        <v>35.153846153846153</v>
      </c>
      <c r="L34" s="5" t="s">
        <v>44</v>
      </c>
      <c r="M34" s="2">
        <v>4.8</v>
      </c>
    </row>
    <row r="35" spans="1:13" x14ac:dyDescent="0.3">
      <c r="E35" s="5" t="s">
        <v>4</v>
      </c>
      <c r="F35" s="1">
        <v>469</v>
      </c>
      <c r="I35" s="5" t="s">
        <v>45</v>
      </c>
      <c r="J35" s="2">
        <v>34.25</v>
      </c>
      <c r="L35" s="5" t="s">
        <v>45</v>
      </c>
      <c r="M35" s="2">
        <v>5.375</v>
      </c>
    </row>
    <row r="36" spans="1:13" x14ac:dyDescent="0.3">
      <c r="I36" s="5" t="s">
        <v>4</v>
      </c>
      <c r="J36" s="1">
        <v>35.044776119402982</v>
      </c>
      <c r="L36" s="5" t="s">
        <v>4</v>
      </c>
      <c r="M36" s="1">
        <v>4.9889298892988929</v>
      </c>
    </row>
    <row r="38" spans="1:13" x14ac:dyDescent="0.3">
      <c r="A38" s="5" t="s">
        <v>9</v>
      </c>
    </row>
    <row r="39" spans="1:13" x14ac:dyDescent="0.3">
      <c r="A39" s="4" t="s">
        <v>5</v>
      </c>
      <c r="B39" t="s">
        <v>12</v>
      </c>
      <c r="C39" t="s">
        <v>13</v>
      </c>
    </row>
    <row r="40" spans="1:13" x14ac:dyDescent="0.3">
      <c r="A40" s="5" t="s">
        <v>10</v>
      </c>
      <c r="B40" s="1">
        <v>217</v>
      </c>
      <c r="C40" s="8">
        <v>0.46268656716417911</v>
      </c>
    </row>
    <row r="41" spans="1:13" x14ac:dyDescent="0.3">
      <c r="A41" s="5" t="s">
        <v>11</v>
      </c>
      <c r="B41" s="1">
        <v>252</v>
      </c>
      <c r="C41" s="8">
        <v>0.53731343283582089</v>
      </c>
    </row>
    <row r="42" spans="1:13" x14ac:dyDescent="0.3">
      <c r="A42" s="5" t="s">
        <v>4</v>
      </c>
      <c r="B42" s="1">
        <v>469</v>
      </c>
      <c r="C42" s="7">
        <v>1</v>
      </c>
    </row>
    <row r="48" spans="1:13" x14ac:dyDescent="0.3">
      <c r="A48" s="14" t="s">
        <v>9</v>
      </c>
      <c r="B48" s="14" t="s">
        <v>14</v>
      </c>
      <c r="C48" s="14" t="s">
        <v>15</v>
      </c>
      <c r="D48" s="9"/>
    </row>
    <row r="49" spans="1:4" x14ac:dyDescent="0.3">
      <c r="A49" s="11" t="str">
        <f>A41</f>
        <v>Not Admitted</v>
      </c>
      <c r="B49" s="12">
        <f t="shared" ref="B49:C49" si="0">B41</f>
        <v>252</v>
      </c>
      <c r="C49" s="13">
        <f t="shared" si="0"/>
        <v>0.53731343283582089</v>
      </c>
      <c r="D49" s="10"/>
    </row>
    <row r="50" spans="1:4" x14ac:dyDescent="0.3">
      <c r="A50" s="11" t="str">
        <f>A40</f>
        <v>Admitted</v>
      </c>
      <c r="B50" s="12">
        <f t="shared" ref="B50:C50" si="1">B40</f>
        <v>217</v>
      </c>
      <c r="C50" s="13">
        <f t="shared" si="1"/>
        <v>0.46268656716417911</v>
      </c>
      <c r="D50" s="10"/>
    </row>
    <row r="53" spans="1:4" x14ac:dyDescent="0.3">
      <c r="A53" t="s">
        <v>46</v>
      </c>
    </row>
    <row r="54" spans="1:4" x14ac:dyDescent="0.3">
      <c r="A54" s="4" t="s">
        <v>5</v>
      </c>
      <c r="B54" t="s">
        <v>47</v>
      </c>
    </row>
    <row r="55" spans="1:4" x14ac:dyDescent="0.3">
      <c r="A55" s="5" t="s">
        <v>48</v>
      </c>
      <c r="B55" s="1">
        <v>50</v>
      </c>
    </row>
    <row r="56" spans="1:4" x14ac:dyDescent="0.3">
      <c r="A56" s="5" t="s">
        <v>49</v>
      </c>
      <c r="B56" s="1">
        <v>58</v>
      </c>
    </row>
    <row r="57" spans="1:4" x14ac:dyDescent="0.3">
      <c r="A57" s="5" t="s">
        <v>50</v>
      </c>
      <c r="B57" s="1">
        <v>71</v>
      </c>
    </row>
    <row r="58" spans="1:4" x14ac:dyDescent="0.3">
      <c r="A58" s="5" t="s">
        <v>51</v>
      </c>
      <c r="B58" s="1">
        <v>63</v>
      </c>
    </row>
    <row r="59" spans="1:4" x14ac:dyDescent="0.3">
      <c r="A59" s="5" t="s">
        <v>52</v>
      </c>
      <c r="B59" s="1">
        <v>54</v>
      </c>
    </row>
    <row r="60" spans="1:4" x14ac:dyDescent="0.3">
      <c r="A60" s="5" t="s">
        <v>53</v>
      </c>
      <c r="B60" s="1">
        <v>59</v>
      </c>
    </row>
    <row r="61" spans="1:4" x14ac:dyDescent="0.3">
      <c r="A61" s="5" t="s">
        <v>54</v>
      </c>
      <c r="B61" s="1">
        <v>51</v>
      </c>
    </row>
    <row r="62" spans="1:4" x14ac:dyDescent="0.3">
      <c r="A62" s="5" t="s">
        <v>55</v>
      </c>
      <c r="B62" s="1">
        <v>63</v>
      </c>
    </row>
    <row r="63" spans="1:4" x14ac:dyDescent="0.3">
      <c r="A63" s="5" t="s">
        <v>4</v>
      </c>
      <c r="B63" s="1">
        <v>469</v>
      </c>
    </row>
    <row r="65" spans="1:2" x14ac:dyDescent="0.3">
      <c r="A65" s="15" t="s">
        <v>61</v>
      </c>
    </row>
    <row r="66" spans="1:2" x14ac:dyDescent="0.3">
      <c r="A66" s="4" t="s">
        <v>5</v>
      </c>
      <c r="B66" t="s">
        <v>61</v>
      </c>
    </row>
    <row r="67" spans="1:2" x14ac:dyDescent="0.3">
      <c r="A67" s="5" t="s">
        <v>56</v>
      </c>
      <c r="B67" s="1">
        <v>268</v>
      </c>
    </row>
    <row r="68" spans="1:2" x14ac:dyDescent="0.3">
      <c r="A68" s="5" t="s">
        <v>57</v>
      </c>
      <c r="B68" s="1">
        <v>201</v>
      </c>
    </row>
    <row r="69" spans="1:2" x14ac:dyDescent="0.3">
      <c r="A69" s="5" t="s">
        <v>4</v>
      </c>
      <c r="B69" s="1">
        <v>469</v>
      </c>
    </row>
    <row r="73" spans="1:2" x14ac:dyDescent="0.3">
      <c r="A73" t="s">
        <v>62</v>
      </c>
    </row>
    <row r="74" spans="1:2" x14ac:dyDescent="0.3">
      <c r="A74" s="4" t="s">
        <v>5</v>
      </c>
      <c r="B74" t="s">
        <v>63</v>
      </c>
    </row>
    <row r="75" spans="1:2" x14ac:dyDescent="0.3">
      <c r="A75" s="5" t="s">
        <v>60</v>
      </c>
      <c r="B75" s="1">
        <v>241</v>
      </c>
    </row>
    <row r="76" spans="1:2" x14ac:dyDescent="0.3">
      <c r="A76" s="5" t="s">
        <v>58</v>
      </c>
      <c r="B76" s="1">
        <v>228</v>
      </c>
    </row>
    <row r="77" spans="1:2" x14ac:dyDescent="0.3">
      <c r="A77" s="5" t="s">
        <v>4</v>
      </c>
      <c r="B77" s="1">
        <v>469</v>
      </c>
    </row>
    <row r="81" spans="1:2" x14ac:dyDescent="0.3">
      <c r="A81" s="4" t="s">
        <v>5</v>
      </c>
      <c r="B81" t="s">
        <v>71</v>
      </c>
    </row>
    <row r="82" spans="1:2" x14ac:dyDescent="0.3">
      <c r="A82" s="5" t="s">
        <v>70</v>
      </c>
      <c r="B82" s="1">
        <v>3</v>
      </c>
    </row>
    <row r="83" spans="1:2" x14ac:dyDescent="0.3">
      <c r="A83" s="5" t="s">
        <v>65</v>
      </c>
      <c r="B83" s="1">
        <v>8</v>
      </c>
    </row>
    <row r="84" spans="1:2" x14ac:dyDescent="0.3">
      <c r="A84" s="5" t="s">
        <v>67</v>
      </c>
      <c r="B84" s="1">
        <v>10</v>
      </c>
    </row>
    <row r="85" spans="1:2" x14ac:dyDescent="0.3">
      <c r="A85" s="5" t="s">
        <v>64</v>
      </c>
      <c r="B85" s="1">
        <v>13</v>
      </c>
    </row>
    <row r="86" spans="1:2" x14ac:dyDescent="0.3">
      <c r="A86" s="5" t="s">
        <v>69</v>
      </c>
      <c r="B86" s="1">
        <v>15</v>
      </c>
    </row>
    <row r="87" spans="1:2" x14ac:dyDescent="0.3">
      <c r="A87" s="5" t="s">
        <v>68</v>
      </c>
      <c r="B87" s="1">
        <v>44</v>
      </c>
    </row>
    <row r="88" spans="1:2" x14ac:dyDescent="0.3">
      <c r="A88" s="5" t="s">
        <v>66</v>
      </c>
      <c r="B88" s="1">
        <v>92</v>
      </c>
    </row>
    <row r="89" spans="1:2" x14ac:dyDescent="0.3">
      <c r="A89" s="5" t="s">
        <v>59</v>
      </c>
      <c r="B89" s="1">
        <v>284</v>
      </c>
    </row>
    <row r="90" spans="1:2" x14ac:dyDescent="0.3">
      <c r="A90" s="5" t="s">
        <v>4</v>
      </c>
      <c r="B90" s="1">
        <v>469</v>
      </c>
    </row>
    <row r="95" spans="1:2" x14ac:dyDescent="0.3">
      <c r="A95" s="4" t="s">
        <v>5</v>
      </c>
    </row>
    <row r="96" spans="1:2" x14ac:dyDescent="0.3">
      <c r="A96" s="5" t="s">
        <v>72</v>
      </c>
    </row>
    <row r="97" spans="1:1" x14ac:dyDescent="0.3">
      <c r="A97" s="16" t="s">
        <v>73</v>
      </c>
    </row>
    <row r="98" spans="1:1" x14ac:dyDescent="0.3">
      <c r="A98" s="17" t="s">
        <v>74</v>
      </c>
    </row>
    <row r="99" spans="1:1" x14ac:dyDescent="0.3">
      <c r="A99" s="5" t="s">
        <v>4</v>
      </c>
    </row>
  </sheetData>
  <pageMargins left="0.7" right="0.7" top="0.75" bottom="0.75" header="0.3" footer="0.3"/>
  <drawing r:id="rId1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B7B713-A51F-4944-9485-6936C8C430CE}">
  <dimension ref="A1:R27"/>
  <sheetViews>
    <sheetView workbookViewId="0"/>
  </sheetViews>
  <sheetFormatPr defaultRowHeight="14.4" x14ac:dyDescent="0.3"/>
  <sheetData>
    <row r="1" spans="1:18" x14ac:dyDescent="0.3">
      <c r="A1" s="6"/>
      <c r="B1" s="6"/>
      <c r="C1" s="6"/>
      <c r="D1" s="6"/>
      <c r="E1" s="6"/>
      <c r="F1" s="6"/>
      <c r="G1" s="6"/>
      <c r="H1" s="6"/>
      <c r="I1" s="6"/>
      <c r="J1" s="6"/>
      <c r="K1" s="6"/>
      <c r="L1" s="6"/>
      <c r="M1" s="6"/>
      <c r="N1" s="6"/>
      <c r="O1" s="6"/>
      <c r="P1" s="6"/>
      <c r="Q1" s="6"/>
      <c r="R1" s="6"/>
    </row>
    <row r="2" spans="1:18" x14ac:dyDescent="0.3">
      <c r="A2" s="6"/>
      <c r="B2" s="6"/>
      <c r="C2" s="6"/>
      <c r="D2" s="6"/>
      <c r="E2" s="6"/>
      <c r="F2" s="6"/>
      <c r="G2" s="6"/>
      <c r="H2" s="6"/>
      <c r="I2" s="6"/>
      <c r="J2" s="6"/>
      <c r="K2" s="6"/>
      <c r="L2" s="6"/>
      <c r="M2" s="6"/>
      <c r="N2" s="6"/>
      <c r="O2" s="6"/>
      <c r="P2" s="6"/>
      <c r="Q2" s="6"/>
      <c r="R2" s="6"/>
    </row>
    <row r="3" spans="1:18" x14ac:dyDescent="0.3">
      <c r="A3" s="6"/>
      <c r="B3" s="6"/>
      <c r="C3" s="6"/>
      <c r="D3" s="6"/>
      <c r="E3" s="6"/>
      <c r="F3" s="6"/>
      <c r="G3" s="6"/>
      <c r="H3" s="6"/>
      <c r="I3" s="6"/>
      <c r="J3" s="6"/>
      <c r="K3" s="6"/>
      <c r="L3" s="6"/>
      <c r="M3" s="6"/>
      <c r="N3" s="6"/>
      <c r="O3" s="6"/>
      <c r="P3" s="6"/>
      <c r="Q3" s="6"/>
      <c r="R3" s="6"/>
    </row>
    <row r="4" spans="1:18" x14ac:dyDescent="0.3">
      <c r="A4" s="6"/>
      <c r="B4" s="6"/>
      <c r="C4" s="6"/>
      <c r="D4" s="6"/>
      <c r="E4" s="6"/>
      <c r="F4" s="6"/>
      <c r="G4" s="6"/>
      <c r="H4" s="6"/>
      <c r="I4" s="6"/>
      <c r="J4" s="6"/>
      <c r="K4" s="6"/>
      <c r="L4" s="6"/>
      <c r="M4" s="6"/>
      <c r="N4" s="6"/>
      <c r="O4" s="6"/>
      <c r="P4" s="6"/>
      <c r="Q4" s="6"/>
      <c r="R4" s="6"/>
    </row>
    <row r="5" spans="1:18" x14ac:dyDescent="0.3">
      <c r="A5" s="6"/>
      <c r="B5" s="6"/>
      <c r="C5" s="6"/>
      <c r="D5" s="6"/>
      <c r="E5" s="6"/>
      <c r="F5" s="6"/>
      <c r="G5" s="6"/>
      <c r="H5" s="6"/>
      <c r="I5" s="6"/>
      <c r="J5" s="6"/>
      <c r="K5" s="6"/>
      <c r="L5" s="6"/>
      <c r="M5" s="6"/>
      <c r="N5" s="6"/>
      <c r="O5" s="6"/>
      <c r="P5" s="6"/>
      <c r="Q5" s="6"/>
      <c r="R5" s="6"/>
    </row>
    <row r="6" spans="1:18" x14ac:dyDescent="0.3">
      <c r="A6" s="6"/>
      <c r="B6" s="6"/>
      <c r="C6" s="6"/>
      <c r="D6" s="6"/>
      <c r="E6" s="6"/>
      <c r="F6" s="6"/>
      <c r="G6" s="6"/>
      <c r="H6" s="6"/>
      <c r="I6" s="6"/>
      <c r="J6" s="6"/>
      <c r="K6" s="6"/>
      <c r="L6" s="6"/>
      <c r="M6" s="6"/>
      <c r="N6" s="6"/>
      <c r="O6" s="6"/>
      <c r="P6" s="6"/>
      <c r="Q6" s="6"/>
      <c r="R6" s="6"/>
    </row>
    <row r="7" spans="1:18" x14ac:dyDescent="0.3">
      <c r="A7" s="6"/>
      <c r="B7" s="6"/>
      <c r="C7" s="6"/>
      <c r="D7" s="6"/>
      <c r="E7" s="6"/>
      <c r="F7" s="6"/>
      <c r="G7" s="6"/>
      <c r="H7" s="6"/>
      <c r="I7" s="6"/>
      <c r="J7" s="6"/>
      <c r="K7" s="6"/>
      <c r="L7" s="6"/>
      <c r="M7" s="6"/>
      <c r="N7" s="6"/>
      <c r="O7" s="6"/>
      <c r="P7" s="6"/>
      <c r="Q7" s="6"/>
      <c r="R7" s="6"/>
    </row>
    <row r="8" spans="1:18" x14ac:dyDescent="0.3">
      <c r="A8" s="6"/>
      <c r="B8" s="6"/>
      <c r="C8" s="6"/>
      <c r="D8" s="6"/>
      <c r="E8" s="6"/>
      <c r="F8" s="6"/>
      <c r="G8" s="6"/>
      <c r="H8" s="6"/>
      <c r="I8" s="6"/>
      <c r="J8" s="6"/>
      <c r="K8" s="6"/>
      <c r="L8" s="6"/>
      <c r="M8" s="6"/>
      <c r="N8" s="6"/>
      <c r="O8" s="6"/>
      <c r="P8" s="6"/>
      <c r="Q8" s="6"/>
      <c r="R8" s="6"/>
    </row>
    <row r="9" spans="1:18" x14ac:dyDescent="0.3">
      <c r="A9" s="6"/>
      <c r="B9" s="6"/>
      <c r="C9" s="6"/>
      <c r="D9" s="6"/>
      <c r="E9" s="6"/>
      <c r="F9" s="6"/>
      <c r="G9" s="6"/>
      <c r="H9" s="6"/>
      <c r="I9" s="6"/>
      <c r="J9" s="6"/>
      <c r="K9" s="6"/>
      <c r="L9" s="6"/>
      <c r="M9" s="6"/>
      <c r="N9" s="6"/>
      <c r="O9" s="6"/>
      <c r="P9" s="6"/>
      <c r="Q9" s="6"/>
      <c r="R9" s="6"/>
    </row>
    <row r="10" spans="1:18" x14ac:dyDescent="0.3">
      <c r="A10" s="6"/>
      <c r="B10" s="6"/>
      <c r="C10" s="6"/>
      <c r="D10" s="6"/>
      <c r="E10" s="6"/>
      <c r="F10" s="6"/>
      <c r="G10" s="6"/>
      <c r="H10" s="6"/>
      <c r="I10" s="6"/>
      <c r="J10" s="6"/>
      <c r="K10" s="6"/>
      <c r="L10" s="6"/>
      <c r="M10" s="6"/>
      <c r="N10" s="6"/>
      <c r="O10" s="6"/>
      <c r="P10" s="6"/>
      <c r="Q10" s="6"/>
      <c r="R10" s="6"/>
    </row>
    <row r="11" spans="1:18" x14ac:dyDescent="0.3">
      <c r="A11" s="6"/>
      <c r="B11" s="6"/>
      <c r="C11" s="6"/>
      <c r="D11" s="6"/>
      <c r="E11" s="6"/>
      <c r="F11" s="6"/>
      <c r="G11" s="6"/>
      <c r="H11" s="6"/>
      <c r="I11" s="6"/>
      <c r="J11" s="6"/>
      <c r="K11" s="6"/>
      <c r="L11" s="6"/>
      <c r="M11" s="6"/>
      <c r="N11" s="6"/>
      <c r="O11" s="6"/>
      <c r="P11" s="6"/>
      <c r="Q11" s="6"/>
      <c r="R11" s="6"/>
    </row>
    <row r="12" spans="1:18" x14ac:dyDescent="0.3">
      <c r="A12" s="6"/>
      <c r="B12" s="6"/>
      <c r="C12" s="6"/>
      <c r="D12" s="6"/>
      <c r="E12" s="6"/>
      <c r="F12" s="6"/>
      <c r="G12" s="6"/>
      <c r="H12" s="6"/>
      <c r="I12" s="6"/>
      <c r="J12" s="6"/>
      <c r="K12" s="6"/>
      <c r="L12" s="6"/>
      <c r="M12" s="6"/>
      <c r="N12" s="6"/>
      <c r="O12" s="6"/>
      <c r="P12" s="6"/>
      <c r="Q12" s="6"/>
      <c r="R12" s="6"/>
    </row>
    <row r="13" spans="1:18" x14ac:dyDescent="0.3">
      <c r="A13" s="6"/>
      <c r="B13" s="6"/>
      <c r="C13" s="6"/>
      <c r="D13" s="6"/>
      <c r="E13" s="6"/>
      <c r="F13" s="6"/>
      <c r="G13" s="6"/>
      <c r="H13" s="6"/>
      <c r="I13" s="6"/>
      <c r="J13" s="6"/>
      <c r="K13" s="6"/>
      <c r="L13" s="6"/>
      <c r="M13" s="6"/>
      <c r="N13" s="6"/>
      <c r="O13" s="6"/>
      <c r="P13" s="6"/>
      <c r="Q13" s="6"/>
      <c r="R13" s="6"/>
    </row>
    <row r="14" spans="1:18" x14ac:dyDescent="0.3">
      <c r="A14" s="6"/>
      <c r="B14" s="6"/>
      <c r="C14" s="6"/>
      <c r="D14" s="6"/>
      <c r="E14" s="6"/>
      <c r="F14" s="6"/>
      <c r="G14" s="6"/>
      <c r="H14" s="6"/>
      <c r="I14" s="6"/>
      <c r="J14" s="6"/>
      <c r="K14" s="6"/>
      <c r="L14" s="6"/>
      <c r="M14" s="6"/>
      <c r="N14" s="6"/>
      <c r="O14" s="6"/>
      <c r="P14" s="6"/>
      <c r="Q14" s="6"/>
      <c r="R14" s="6"/>
    </row>
    <row r="15" spans="1:18" x14ac:dyDescent="0.3">
      <c r="A15" s="6"/>
      <c r="B15" s="6"/>
      <c r="C15" s="6"/>
      <c r="D15" s="6"/>
      <c r="E15" s="6"/>
      <c r="F15" s="6"/>
      <c r="G15" s="6"/>
      <c r="H15" s="6"/>
      <c r="I15" s="6"/>
      <c r="J15" s="6"/>
      <c r="K15" s="6"/>
      <c r="L15" s="6"/>
      <c r="M15" s="6"/>
      <c r="N15" s="6"/>
      <c r="O15" s="6"/>
      <c r="P15" s="6"/>
      <c r="Q15" s="6"/>
      <c r="R15" s="6"/>
    </row>
    <row r="16" spans="1:18" x14ac:dyDescent="0.3">
      <c r="A16" s="6"/>
      <c r="B16" s="6"/>
      <c r="C16" s="6"/>
      <c r="D16" s="6"/>
      <c r="E16" s="6"/>
      <c r="F16" s="6"/>
      <c r="G16" s="6"/>
      <c r="H16" s="6"/>
      <c r="I16" s="6"/>
      <c r="J16" s="6"/>
      <c r="K16" s="6"/>
      <c r="L16" s="6"/>
      <c r="M16" s="6"/>
      <c r="N16" s="6"/>
      <c r="O16" s="6"/>
      <c r="P16" s="6"/>
      <c r="Q16" s="6"/>
      <c r="R16" s="6"/>
    </row>
    <row r="17" spans="1:18" x14ac:dyDescent="0.3">
      <c r="A17" s="6"/>
      <c r="B17" s="6"/>
      <c r="C17" s="6"/>
      <c r="D17" s="6"/>
      <c r="E17" s="6"/>
      <c r="F17" s="6"/>
      <c r="G17" s="6"/>
      <c r="H17" s="6"/>
      <c r="I17" s="6"/>
      <c r="J17" s="6"/>
      <c r="K17" s="6"/>
      <c r="L17" s="6"/>
      <c r="M17" s="6"/>
      <c r="N17" s="6"/>
      <c r="O17" s="6"/>
      <c r="P17" s="6"/>
      <c r="Q17" s="6"/>
      <c r="R17" s="6"/>
    </row>
    <row r="18" spans="1:18" x14ac:dyDescent="0.3">
      <c r="A18" s="6"/>
      <c r="B18" s="6"/>
      <c r="C18" s="6"/>
      <c r="D18" s="6"/>
      <c r="E18" s="6"/>
      <c r="F18" s="6"/>
      <c r="G18" s="6"/>
      <c r="H18" s="6"/>
      <c r="I18" s="6"/>
      <c r="J18" s="6"/>
      <c r="K18" s="6"/>
      <c r="L18" s="6"/>
      <c r="M18" s="6"/>
      <c r="N18" s="6"/>
      <c r="O18" s="6"/>
      <c r="P18" s="6"/>
      <c r="Q18" s="6"/>
      <c r="R18" s="6"/>
    </row>
    <row r="19" spans="1:18" x14ac:dyDescent="0.3">
      <c r="A19" s="6"/>
      <c r="B19" s="6"/>
      <c r="C19" s="6"/>
      <c r="D19" s="6"/>
      <c r="E19" s="6"/>
      <c r="F19" s="6"/>
      <c r="G19" s="6"/>
      <c r="H19" s="6"/>
      <c r="I19" s="6"/>
      <c r="J19" s="6"/>
      <c r="K19" s="6"/>
      <c r="L19" s="6"/>
      <c r="M19" s="6"/>
      <c r="N19" s="6"/>
      <c r="O19" s="6"/>
      <c r="P19" s="6"/>
      <c r="Q19" s="6"/>
      <c r="R19" s="6"/>
    </row>
    <row r="20" spans="1:18" x14ac:dyDescent="0.3">
      <c r="A20" s="6"/>
      <c r="B20" s="6"/>
      <c r="C20" s="6"/>
      <c r="D20" s="6"/>
      <c r="E20" s="6"/>
      <c r="F20" s="6"/>
      <c r="G20" s="6"/>
      <c r="H20" s="6"/>
      <c r="I20" s="6"/>
      <c r="J20" s="6"/>
      <c r="K20" s="6"/>
      <c r="L20" s="6"/>
      <c r="M20" s="6"/>
      <c r="N20" s="6"/>
      <c r="O20" s="6"/>
      <c r="P20" s="6"/>
      <c r="Q20" s="6"/>
      <c r="R20" s="6"/>
    </row>
    <row r="21" spans="1:18" x14ac:dyDescent="0.3">
      <c r="A21" s="6"/>
      <c r="B21" s="6"/>
      <c r="C21" s="6"/>
      <c r="D21" s="6"/>
      <c r="E21" s="6"/>
      <c r="F21" s="6"/>
      <c r="G21" s="6"/>
      <c r="H21" s="6"/>
      <c r="I21" s="6"/>
      <c r="J21" s="6"/>
      <c r="K21" s="6"/>
      <c r="L21" s="6"/>
      <c r="M21" s="6"/>
      <c r="N21" s="6"/>
      <c r="O21" s="6"/>
      <c r="P21" s="6"/>
      <c r="Q21" s="6"/>
      <c r="R21" s="6"/>
    </row>
    <row r="22" spans="1:18" x14ac:dyDescent="0.3">
      <c r="A22" s="6"/>
      <c r="B22" s="6"/>
      <c r="C22" s="6"/>
      <c r="D22" s="6"/>
      <c r="E22" s="6"/>
      <c r="F22" s="6"/>
      <c r="G22" s="6"/>
      <c r="H22" s="6"/>
      <c r="I22" s="6"/>
      <c r="J22" s="6"/>
      <c r="K22" s="6"/>
      <c r="L22" s="6"/>
      <c r="M22" s="6"/>
      <c r="N22" s="6"/>
      <c r="O22" s="6"/>
      <c r="P22" s="6"/>
      <c r="Q22" s="6"/>
      <c r="R22" s="6"/>
    </row>
    <row r="23" spans="1:18" x14ac:dyDescent="0.3">
      <c r="A23" s="6"/>
      <c r="B23" s="6"/>
      <c r="C23" s="6"/>
      <c r="D23" s="6"/>
      <c r="E23" s="6"/>
      <c r="F23" s="6"/>
      <c r="G23" s="6"/>
      <c r="H23" s="6"/>
      <c r="I23" s="6"/>
      <c r="J23" s="6"/>
      <c r="K23" s="6"/>
      <c r="L23" s="6"/>
      <c r="M23" s="6"/>
      <c r="N23" s="6"/>
      <c r="O23" s="6"/>
      <c r="P23" s="6"/>
      <c r="Q23" s="6"/>
      <c r="R23" s="6"/>
    </row>
    <row r="24" spans="1:18" x14ac:dyDescent="0.3">
      <c r="A24" s="6"/>
      <c r="B24" s="6"/>
      <c r="C24" s="6"/>
      <c r="D24" s="6"/>
      <c r="E24" s="6"/>
      <c r="F24" s="6"/>
      <c r="G24" s="6"/>
      <c r="H24" s="6"/>
      <c r="I24" s="6"/>
      <c r="J24" s="6"/>
      <c r="K24" s="6"/>
      <c r="L24" s="6"/>
      <c r="M24" s="6"/>
      <c r="N24" s="6"/>
      <c r="O24" s="6"/>
      <c r="P24" s="6"/>
      <c r="Q24" s="6"/>
      <c r="R24" s="6"/>
    </row>
    <row r="25" spans="1:18" x14ac:dyDescent="0.3">
      <c r="A25" s="6"/>
      <c r="B25" s="6"/>
      <c r="C25" s="6"/>
      <c r="D25" s="6"/>
      <c r="E25" s="6"/>
      <c r="F25" s="6"/>
      <c r="G25" s="6"/>
      <c r="H25" s="6"/>
      <c r="I25" s="6"/>
      <c r="J25" s="6"/>
      <c r="K25" s="6"/>
      <c r="L25" s="6"/>
      <c r="M25" s="6"/>
      <c r="N25" s="6"/>
      <c r="O25" s="6"/>
      <c r="P25" s="6"/>
      <c r="Q25" s="6"/>
      <c r="R25" s="6"/>
    </row>
    <row r="26" spans="1:18" x14ac:dyDescent="0.3">
      <c r="A26" s="6"/>
      <c r="B26" s="6"/>
      <c r="C26" s="6"/>
      <c r="D26" s="6"/>
      <c r="E26" s="6"/>
      <c r="F26" s="6"/>
      <c r="G26" s="6"/>
      <c r="H26" s="6"/>
      <c r="I26" s="6"/>
      <c r="J26" s="6"/>
      <c r="K26" s="6"/>
      <c r="L26" s="6"/>
      <c r="M26" s="6"/>
      <c r="N26" s="6"/>
      <c r="O26" s="6"/>
      <c r="P26" s="6"/>
      <c r="Q26" s="6"/>
      <c r="R26" s="6"/>
    </row>
    <row r="27" spans="1:18" x14ac:dyDescent="0.3">
      <c r="A27" s="6"/>
      <c r="B27" s="6"/>
      <c r="C27" s="6"/>
      <c r="D27" s="6"/>
      <c r="E27" s="6"/>
      <c r="F27" s="6"/>
      <c r="G27" s="6"/>
      <c r="H27" s="6"/>
      <c r="I27" s="6"/>
      <c r="J27" s="6"/>
      <c r="K27" s="6"/>
      <c r="L27" s="6"/>
      <c r="M27" s="6"/>
      <c r="N27" s="6"/>
      <c r="O27" s="6"/>
      <c r="P27" s="6"/>
      <c r="Q27" s="6"/>
      <c r="R27" s="6"/>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8EB221-DBB2-4C80-9345-6C75E774E898}">
  <dimension ref="A1:W28"/>
  <sheetViews>
    <sheetView workbookViewId="0"/>
  </sheetViews>
  <sheetFormatPr defaultRowHeight="14.4" x14ac:dyDescent="0.3"/>
  <sheetData>
    <row r="1" spans="1:23" x14ac:dyDescent="0.3">
      <c r="A1" s="6"/>
      <c r="B1" s="6"/>
      <c r="C1" s="6"/>
      <c r="D1" s="6"/>
      <c r="E1" s="6"/>
      <c r="F1" s="6"/>
      <c r="G1" s="6"/>
      <c r="H1" s="6"/>
      <c r="I1" s="6"/>
      <c r="J1" s="6"/>
      <c r="K1" s="6"/>
      <c r="L1" s="6"/>
      <c r="M1" s="6"/>
      <c r="N1" s="6"/>
      <c r="O1" s="6"/>
      <c r="P1" s="6"/>
      <c r="Q1" s="6"/>
      <c r="R1" s="6"/>
      <c r="S1" s="6"/>
      <c r="T1" s="6"/>
      <c r="U1" s="6"/>
      <c r="V1" s="6"/>
      <c r="W1" s="6"/>
    </row>
    <row r="2" spans="1:23" x14ac:dyDescent="0.3">
      <c r="A2" s="6"/>
      <c r="B2" s="6"/>
      <c r="C2" s="6"/>
      <c r="D2" s="6"/>
      <c r="E2" s="6"/>
      <c r="F2" s="6"/>
      <c r="G2" s="6"/>
      <c r="H2" s="6"/>
      <c r="I2" s="6"/>
      <c r="J2" s="6"/>
      <c r="K2" s="6"/>
      <c r="L2" s="6"/>
      <c r="M2" s="6"/>
      <c r="N2" s="6"/>
      <c r="O2" s="6"/>
      <c r="P2" s="6"/>
      <c r="Q2" s="6"/>
      <c r="R2" s="6"/>
      <c r="S2" s="6"/>
      <c r="T2" s="6"/>
      <c r="U2" s="6"/>
      <c r="V2" s="6"/>
      <c r="W2" s="6"/>
    </row>
    <row r="3" spans="1:23" x14ac:dyDescent="0.3">
      <c r="A3" s="6"/>
      <c r="B3" s="6"/>
      <c r="C3" s="6"/>
      <c r="D3" s="6"/>
      <c r="E3" s="6"/>
      <c r="F3" s="6"/>
      <c r="G3" s="6"/>
      <c r="H3" s="6"/>
      <c r="I3" s="6"/>
      <c r="J3" s="6"/>
      <c r="K3" s="6"/>
      <c r="L3" s="6"/>
      <c r="M3" s="6"/>
      <c r="N3" s="6"/>
      <c r="O3" s="6"/>
      <c r="P3" s="6"/>
      <c r="Q3" s="6"/>
      <c r="R3" s="6"/>
      <c r="S3" s="6"/>
      <c r="T3" s="6"/>
      <c r="U3" s="6"/>
      <c r="V3" s="6"/>
      <c r="W3" s="6"/>
    </row>
    <row r="4" spans="1:23" x14ac:dyDescent="0.3">
      <c r="A4" s="6"/>
      <c r="B4" s="6"/>
      <c r="C4" s="6"/>
      <c r="D4" s="6"/>
      <c r="E4" s="6"/>
      <c r="F4" s="6"/>
      <c r="G4" s="6"/>
      <c r="H4" s="6"/>
      <c r="I4" s="6"/>
      <c r="J4" s="6"/>
      <c r="K4" s="6"/>
      <c r="L4" s="6"/>
      <c r="M4" s="6"/>
      <c r="N4" s="6"/>
      <c r="O4" s="6"/>
      <c r="P4" s="6"/>
      <c r="Q4" s="6"/>
      <c r="R4" s="6"/>
      <c r="S4" s="6"/>
      <c r="T4" s="6"/>
      <c r="U4" s="6"/>
      <c r="V4" s="6"/>
      <c r="W4" s="6"/>
    </row>
    <row r="5" spans="1:23" x14ac:dyDescent="0.3">
      <c r="A5" s="6"/>
      <c r="B5" s="6"/>
      <c r="C5" s="6"/>
      <c r="D5" s="6"/>
      <c r="E5" s="6"/>
      <c r="F5" s="6"/>
      <c r="G5" s="6"/>
      <c r="H5" s="6"/>
      <c r="I5" s="6"/>
      <c r="J5" s="6"/>
      <c r="K5" s="6"/>
      <c r="L5" s="6"/>
      <c r="M5" s="6"/>
      <c r="N5" s="6"/>
      <c r="O5" s="6"/>
      <c r="P5" s="6"/>
      <c r="Q5" s="6"/>
      <c r="R5" s="6"/>
      <c r="S5" s="6"/>
      <c r="T5" s="6"/>
      <c r="U5" s="6"/>
      <c r="V5" s="6"/>
      <c r="W5" s="6"/>
    </row>
    <row r="6" spans="1:23" x14ac:dyDescent="0.3">
      <c r="A6" s="6"/>
      <c r="B6" s="6"/>
      <c r="C6" s="6"/>
      <c r="D6" s="6"/>
      <c r="E6" s="6"/>
      <c r="F6" s="6"/>
      <c r="G6" s="6"/>
      <c r="H6" s="6"/>
      <c r="I6" s="6"/>
      <c r="J6" s="6"/>
      <c r="K6" s="6"/>
      <c r="L6" s="6"/>
      <c r="M6" s="6"/>
      <c r="N6" s="6"/>
      <c r="O6" s="6"/>
      <c r="P6" s="6"/>
      <c r="Q6" s="6"/>
      <c r="R6" s="6"/>
      <c r="S6" s="6"/>
      <c r="T6" s="6"/>
      <c r="U6" s="6"/>
      <c r="V6" s="6"/>
      <c r="W6" s="6"/>
    </row>
    <row r="7" spans="1:23" x14ac:dyDescent="0.3">
      <c r="A7" s="6"/>
      <c r="B7" s="6"/>
      <c r="C7" s="6"/>
      <c r="D7" s="6"/>
      <c r="E7" s="6"/>
      <c r="F7" s="6"/>
      <c r="G7" s="6"/>
      <c r="H7" s="6"/>
      <c r="I7" s="6"/>
      <c r="J7" s="6"/>
      <c r="K7" s="6"/>
      <c r="L7" s="6"/>
      <c r="M7" s="6"/>
      <c r="N7" s="6"/>
      <c r="O7" s="6"/>
      <c r="P7" s="6"/>
      <c r="Q7" s="6"/>
      <c r="R7" s="6"/>
      <c r="S7" s="6"/>
      <c r="T7" s="6"/>
      <c r="U7" s="6"/>
      <c r="V7" s="6"/>
      <c r="W7" s="6"/>
    </row>
    <row r="8" spans="1:23" x14ac:dyDescent="0.3">
      <c r="A8" s="6"/>
      <c r="B8" s="6"/>
      <c r="C8" s="6"/>
      <c r="D8" s="6"/>
      <c r="E8" s="6"/>
      <c r="F8" s="6"/>
      <c r="G8" s="6"/>
      <c r="H8" s="6"/>
      <c r="I8" s="6"/>
      <c r="J8" s="6"/>
      <c r="K8" s="6"/>
      <c r="L8" s="6"/>
      <c r="M8" s="6"/>
      <c r="N8" s="6"/>
      <c r="O8" s="6"/>
      <c r="P8" s="6"/>
      <c r="Q8" s="6"/>
      <c r="R8" s="6"/>
      <c r="S8" s="6"/>
      <c r="T8" s="6"/>
      <c r="U8" s="6"/>
      <c r="V8" s="6"/>
      <c r="W8" s="6"/>
    </row>
    <row r="9" spans="1:23" x14ac:dyDescent="0.3">
      <c r="A9" s="6"/>
      <c r="B9" s="6"/>
      <c r="C9" s="6"/>
      <c r="D9" s="6"/>
      <c r="E9" s="6"/>
      <c r="F9" s="6"/>
      <c r="G9" s="6"/>
      <c r="H9" s="6"/>
      <c r="I9" s="6"/>
      <c r="J9" s="6"/>
      <c r="K9" s="6"/>
      <c r="L9" s="6"/>
      <c r="M9" s="6"/>
      <c r="N9" s="6"/>
      <c r="O9" s="6"/>
      <c r="P9" s="6"/>
      <c r="Q9" s="6"/>
      <c r="R9" s="6"/>
      <c r="S9" s="6"/>
      <c r="T9" s="6"/>
      <c r="U9" s="6"/>
      <c r="V9" s="6"/>
      <c r="W9" s="6"/>
    </row>
    <row r="10" spans="1:23" x14ac:dyDescent="0.3">
      <c r="A10" s="6"/>
      <c r="B10" s="6"/>
      <c r="C10" s="6"/>
      <c r="D10" s="6"/>
      <c r="E10" s="6"/>
      <c r="F10" s="6"/>
      <c r="G10" s="6"/>
      <c r="H10" s="6"/>
      <c r="I10" s="6"/>
      <c r="J10" s="6"/>
      <c r="K10" s="6"/>
      <c r="L10" s="6"/>
      <c r="M10" s="6"/>
      <c r="N10" s="6"/>
      <c r="O10" s="6"/>
      <c r="P10" s="6"/>
      <c r="Q10" s="6"/>
      <c r="R10" s="6"/>
      <c r="S10" s="6"/>
      <c r="T10" s="6"/>
      <c r="U10" s="6"/>
      <c r="V10" s="6"/>
      <c r="W10" s="6"/>
    </row>
    <row r="11" spans="1:23" x14ac:dyDescent="0.3">
      <c r="A11" s="6"/>
      <c r="B11" s="6"/>
      <c r="C11" s="6"/>
      <c r="D11" s="6"/>
      <c r="E11" s="6"/>
      <c r="F11" s="6"/>
      <c r="G11" s="6"/>
      <c r="H11" s="6"/>
      <c r="I11" s="6"/>
      <c r="J11" s="6"/>
      <c r="K11" s="6"/>
      <c r="L11" s="6"/>
      <c r="M11" s="6"/>
      <c r="N11" s="6"/>
      <c r="O11" s="6"/>
      <c r="P11" s="6"/>
      <c r="Q11" s="6"/>
      <c r="R11" s="6"/>
      <c r="S11" s="6"/>
      <c r="T11" s="6"/>
      <c r="U11" s="6"/>
      <c r="V11" s="6"/>
      <c r="W11" s="6"/>
    </row>
    <row r="12" spans="1:23" x14ac:dyDescent="0.3">
      <c r="A12" s="6"/>
      <c r="B12" s="6"/>
      <c r="C12" s="6"/>
      <c r="D12" s="6"/>
      <c r="E12" s="6"/>
      <c r="F12" s="6"/>
      <c r="G12" s="6"/>
      <c r="H12" s="6"/>
      <c r="I12" s="6"/>
      <c r="J12" s="6"/>
      <c r="K12" s="6"/>
      <c r="L12" s="6"/>
      <c r="M12" s="6"/>
      <c r="N12" s="6"/>
      <c r="O12" s="6"/>
      <c r="P12" s="6"/>
      <c r="Q12" s="6"/>
      <c r="R12" s="6"/>
      <c r="S12" s="6"/>
      <c r="T12" s="6"/>
      <c r="U12" s="6"/>
      <c r="V12" s="6"/>
      <c r="W12" s="6"/>
    </row>
    <row r="13" spans="1:23" x14ac:dyDescent="0.3">
      <c r="A13" s="6"/>
      <c r="B13" s="6"/>
      <c r="C13" s="6"/>
      <c r="D13" s="6"/>
      <c r="E13" s="6"/>
      <c r="F13" s="6"/>
      <c r="G13" s="6"/>
      <c r="H13" s="6"/>
      <c r="I13" s="6"/>
      <c r="J13" s="6"/>
      <c r="K13" s="6"/>
      <c r="L13" s="6"/>
      <c r="M13" s="6"/>
      <c r="N13" s="6"/>
      <c r="O13" s="6"/>
      <c r="P13" s="6"/>
      <c r="Q13" s="6"/>
      <c r="R13" s="6"/>
      <c r="S13" s="6"/>
      <c r="T13" s="6"/>
      <c r="U13" s="6"/>
      <c r="V13" s="6"/>
      <c r="W13" s="6"/>
    </row>
    <row r="14" spans="1:23" x14ac:dyDescent="0.3">
      <c r="A14" s="6"/>
      <c r="B14" s="6"/>
      <c r="C14" s="6"/>
      <c r="D14" s="6"/>
      <c r="E14" s="6"/>
      <c r="F14" s="6"/>
      <c r="G14" s="6"/>
      <c r="H14" s="6"/>
      <c r="I14" s="6"/>
      <c r="J14" s="6"/>
      <c r="K14" s="6"/>
      <c r="L14" s="6"/>
      <c r="M14" s="6"/>
      <c r="N14" s="6"/>
      <c r="O14" s="6"/>
      <c r="P14" s="6"/>
      <c r="Q14" s="6"/>
      <c r="R14" s="6"/>
      <c r="S14" s="6"/>
      <c r="T14" s="6"/>
      <c r="U14" s="6"/>
      <c r="V14" s="6"/>
      <c r="W14" s="6"/>
    </row>
    <row r="15" spans="1:23" x14ac:dyDescent="0.3">
      <c r="A15" s="6"/>
      <c r="B15" s="6"/>
      <c r="C15" s="6"/>
      <c r="D15" s="6"/>
      <c r="E15" s="6"/>
      <c r="F15" s="6"/>
      <c r="G15" s="6"/>
      <c r="H15" s="6"/>
      <c r="I15" s="6"/>
      <c r="J15" s="6"/>
      <c r="K15" s="6"/>
      <c r="L15" s="6"/>
      <c r="M15" s="6"/>
      <c r="N15" s="6"/>
      <c r="O15" s="6"/>
      <c r="P15" s="6"/>
      <c r="Q15" s="6"/>
      <c r="R15" s="6"/>
      <c r="S15" s="6"/>
      <c r="T15" s="6"/>
      <c r="U15" s="6"/>
      <c r="V15" s="6"/>
      <c r="W15" s="6"/>
    </row>
    <row r="16" spans="1:23" x14ac:dyDescent="0.3">
      <c r="A16" s="6"/>
      <c r="B16" s="6"/>
      <c r="C16" s="6"/>
      <c r="D16" s="6"/>
      <c r="E16" s="6"/>
      <c r="F16" s="6"/>
      <c r="G16" s="6"/>
      <c r="H16" s="6"/>
      <c r="I16" s="6"/>
      <c r="J16" s="6"/>
      <c r="K16" s="6"/>
      <c r="L16" s="6"/>
      <c r="M16" s="6"/>
      <c r="N16" s="6"/>
      <c r="O16" s="6"/>
      <c r="P16" s="6"/>
      <c r="Q16" s="6"/>
      <c r="R16" s="6"/>
      <c r="S16" s="6"/>
      <c r="T16" s="6"/>
      <c r="U16" s="6"/>
      <c r="V16" s="6"/>
      <c r="W16" s="6"/>
    </row>
    <row r="17" spans="1:23" x14ac:dyDescent="0.3">
      <c r="A17" s="6"/>
      <c r="B17" s="6"/>
      <c r="C17" s="6"/>
      <c r="D17" s="6"/>
      <c r="E17" s="6"/>
      <c r="F17" s="6"/>
      <c r="G17" s="6"/>
      <c r="H17" s="6"/>
      <c r="I17" s="6"/>
      <c r="J17" s="6"/>
      <c r="K17" s="6"/>
      <c r="L17" s="6"/>
      <c r="M17" s="6"/>
      <c r="N17" s="6"/>
      <c r="O17" s="6"/>
      <c r="P17" s="6"/>
      <c r="Q17" s="6"/>
      <c r="R17" s="6"/>
      <c r="S17" s="6"/>
      <c r="T17" s="6"/>
      <c r="U17" s="6"/>
      <c r="V17" s="6"/>
      <c r="W17" s="6"/>
    </row>
    <row r="18" spans="1:23" x14ac:dyDescent="0.3">
      <c r="A18" s="6"/>
      <c r="B18" s="6"/>
      <c r="C18" s="6"/>
      <c r="D18" s="6"/>
      <c r="E18" s="6"/>
      <c r="F18" s="6"/>
      <c r="G18" s="6"/>
      <c r="H18" s="6"/>
      <c r="I18" s="6"/>
      <c r="J18" s="6"/>
      <c r="K18" s="6"/>
      <c r="L18" s="6"/>
      <c r="M18" s="6"/>
      <c r="N18" s="6"/>
      <c r="O18" s="6"/>
      <c r="P18" s="6"/>
      <c r="Q18" s="6"/>
      <c r="R18" s="6"/>
      <c r="S18" s="6"/>
      <c r="T18" s="6"/>
      <c r="U18" s="6"/>
      <c r="V18" s="6"/>
      <c r="W18" s="6"/>
    </row>
    <row r="19" spans="1:23" x14ac:dyDescent="0.3">
      <c r="A19" s="6"/>
      <c r="B19" s="6"/>
      <c r="C19" s="6"/>
      <c r="D19" s="6"/>
      <c r="E19" s="6"/>
      <c r="F19" s="6"/>
      <c r="G19" s="6"/>
      <c r="H19" s="6"/>
      <c r="I19" s="6"/>
      <c r="J19" s="6"/>
      <c r="K19" s="6"/>
      <c r="L19" s="6"/>
      <c r="M19" s="6"/>
      <c r="N19" s="6"/>
      <c r="O19" s="6"/>
      <c r="P19" s="6"/>
      <c r="Q19" s="6"/>
      <c r="R19" s="6"/>
      <c r="S19" s="6"/>
      <c r="T19" s="6"/>
      <c r="U19" s="6"/>
      <c r="V19" s="6"/>
      <c r="W19" s="6"/>
    </row>
    <row r="20" spans="1:23" x14ac:dyDescent="0.3">
      <c r="A20" s="6"/>
      <c r="B20" s="6"/>
      <c r="C20" s="6"/>
      <c r="D20" s="6"/>
      <c r="E20" s="6"/>
      <c r="F20" s="6"/>
      <c r="G20" s="6"/>
      <c r="H20" s="6"/>
      <c r="I20" s="6"/>
      <c r="J20" s="6"/>
      <c r="K20" s="6"/>
      <c r="L20" s="6"/>
      <c r="M20" s="6"/>
      <c r="N20" s="6"/>
      <c r="O20" s="6"/>
      <c r="P20" s="6"/>
      <c r="Q20" s="6"/>
      <c r="R20" s="6"/>
      <c r="S20" s="6"/>
      <c r="T20" s="6"/>
      <c r="U20" s="6"/>
      <c r="V20" s="6"/>
      <c r="W20" s="6"/>
    </row>
    <row r="21" spans="1:23" x14ac:dyDescent="0.3">
      <c r="A21" s="6"/>
      <c r="B21" s="6"/>
      <c r="C21" s="6"/>
      <c r="D21" s="6"/>
      <c r="E21" s="6"/>
      <c r="F21" s="6"/>
      <c r="G21" s="6"/>
      <c r="H21" s="6"/>
      <c r="I21" s="6"/>
      <c r="J21" s="6"/>
      <c r="K21" s="6"/>
      <c r="L21" s="6"/>
      <c r="M21" s="6"/>
      <c r="N21" s="6"/>
      <c r="O21" s="6"/>
      <c r="P21" s="6"/>
      <c r="Q21" s="6"/>
      <c r="R21" s="6"/>
      <c r="S21" s="6"/>
      <c r="T21" s="6"/>
      <c r="U21" s="6"/>
      <c r="V21" s="6"/>
      <c r="W21" s="6"/>
    </row>
    <row r="22" spans="1:23" x14ac:dyDescent="0.3">
      <c r="A22" s="6"/>
      <c r="B22" s="6"/>
      <c r="C22" s="6"/>
      <c r="D22" s="6"/>
      <c r="E22" s="6"/>
      <c r="F22" s="6"/>
      <c r="G22" s="6"/>
      <c r="H22" s="6"/>
      <c r="I22" s="6"/>
      <c r="J22" s="6"/>
      <c r="K22" s="6"/>
      <c r="L22" s="6"/>
      <c r="M22" s="6"/>
      <c r="N22" s="6"/>
      <c r="O22" s="6"/>
      <c r="P22" s="6"/>
      <c r="Q22" s="6"/>
      <c r="R22" s="6"/>
      <c r="S22" s="6"/>
      <c r="T22" s="6"/>
      <c r="U22" s="6"/>
      <c r="V22" s="6"/>
      <c r="W22" s="6"/>
    </row>
    <row r="23" spans="1:23" x14ac:dyDescent="0.3">
      <c r="A23" s="6"/>
      <c r="B23" s="6"/>
      <c r="C23" s="6"/>
      <c r="D23" s="6"/>
      <c r="E23" s="6"/>
      <c r="F23" s="6"/>
      <c r="G23" s="6"/>
      <c r="H23" s="6"/>
      <c r="I23" s="6"/>
      <c r="J23" s="6"/>
      <c r="K23" s="6"/>
      <c r="L23" s="6"/>
      <c r="M23" s="6"/>
      <c r="N23" s="6"/>
      <c r="O23" s="6"/>
      <c r="P23" s="6"/>
      <c r="Q23" s="6"/>
      <c r="R23" s="6"/>
      <c r="S23" s="6"/>
      <c r="T23" s="6"/>
      <c r="U23" s="6"/>
      <c r="V23" s="6"/>
      <c r="W23" s="6"/>
    </row>
    <row r="24" spans="1:23" x14ac:dyDescent="0.3">
      <c r="A24" s="6"/>
      <c r="B24" s="6"/>
      <c r="C24" s="6"/>
      <c r="D24" s="6"/>
      <c r="E24" s="6"/>
      <c r="F24" s="6"/>
      <c r="G24" s="6"/>
      <c r="H24" s="6"/>
      <c r="I24" s="6"/>
      <c r="J24" s="6"/>
      <c r="K24" s="6"/>
      <c r="L24" s="6"/>
      <c r="M24" s="6"/>
      <c r="N24" s="6"/>
      <c r="O24" s="6"/>
      <c r="P24" s="6"/>
      <c r="Q24" s="6"/>
      <c r="R24" s="6"/>
      <c r="S24" s="6"/>
      <c r="T24" s="6"/>
      <c r="U24" s="6"/>
      <c r="V24" s="6"/>
      <c r="W24" s="6"/>
    </row>
    <row r="25" spans="1:23" x14ac:dyDescent="0.3">
      <c r="A25" s="6"/>
      <c r="B25" s="6"/>
      <c r="C25" s="6"/>
      <c r="D25" s="6"/>
      <c r="E25" s="6"/>
      <c r="F25" s="6"/>
      <c r="G25" s="6"/>
      <c r="H25" s="6"/>
      <c r="I25" s="6"/>
      <c r="J25" s="6"/>
      <c r="K25" s="6"/>
      <c r="L25" s="6"/>
      <c r="M25" s="6"/>
      <c r="N25" s="6"/>
      <c r="O25" s="6"/>
      <c r="P25" s="6"/>
      <c r="Q25" s="6"/>
      <c r="R25" s="6"/>
      <c r="S25" s="6"/>
      <c r="T25" s="6"/>
      <c r="U25" s="6"/>
      <c r="V25" s="6"/>
      <c r="W25" s="6"/>
    </row>
    <row r="26" spans="1:23" x14ac:dyDescent="0.3">
      <c r="A26" s="6"/>
      <c r="B26" s="6"/>
      <c r="C26" s="6"/>
      <c r="D26" s="6"/>
      <c r="E26" s="6"/>
      <c r="F26" s="6"/>
      <c r="G26" s="6"/>
      <c r="H26" s="6"/>
      <c r="I26" s="6"/>
      <c r="J26" s="6"/>
      <c r="K26" s="6"/>
      <c r="L26" s="6"/>
      <c r="M26" s="6"/>
      <c r="N26" s="6"/>
      <c r="O26" s="6"/>
      <c r="P26" s="6"/>
      <c r="Q26" s="6"/>
      <c r="R26" s="6"/>
      <c r="S26" s="6"/>
      <c r="T26" s="6"/>
      <c r="U26" s="6"/>
      <c r="V26" s="6"/>
      <c r="W26" s="6"/>
    </row>
    <row r="27" spans="1:23" x14ac:dyDescent="0.3">
      <c r="A27" s="6"/>
      <c r="B27" s="6"/>
      <c r="C27" s="6"/>
      <c r="D27" s="6"/>
      <c r="E27" s="6"/>
      <c r="F27" s="6"/>
      <c r="G27" s="6"/>
      <c r="H27" s="6"/>
      <c r="I27" s="6"/>
      <c r="J27" s="6"/>
      <c r="K27" s="6"/>
      <c r="L27" s="6"/>
      <c r="M27" s="6"/>
      <c r="N27" s="6"/>
      <c r="O27" s="6"/>
      <c r="P27" s="6"/>
      <c r="Q27" s="6"/>
      <c r="R27" s="6"/>
      <c r="S27" s="6"/>
      <c r="T27" s="6"/>
      <c r="U27" s="6"/>
      <c r="V27" s="6"/>
      <c r="W27" s="6"/>
    </row>
    <row r="28" spans="1:23" x14ac:dyDescent="0.3">
      <c r="A28" s="6"/>
      <c r="B28" s="6"/>
      <c r="C28" s="6"/>
      <c r="D28" s="6"/>
      <c r="E28" s="6"/>
      <c r="F28" s="6"/>
      <c r="G28" s="6"/>
      <c r="H28" s="6"/>
      <c r="I28" s="6"/>
      <c r="J28" s="6"/>
      <c r="K28" s="6"/>
      <c r="L28" s="6"/>
      <c r="M28" s="6"/>
      <c r="N28" s="6"/>
      <c r="O28" s="6"/>
      <c r="P28" s="6"/>
      <c r="Q28" s="6"/>
      <c r="R28" s="6"/>
      <c r="S28" s="6"/>
      <c r="T28" s="6"/>
      <c r="U28" s="6"/>
      <c r="V28" s="6"/>
      <c r="W28" s="6"/>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EB2CFD-E8EA-4E36-9435-B2BC05AB07D4}">
  <dimension ref="A1:P24"/>
  <sheetViews>
    <sheetView tabSelected="1" zoomScale="141" zoomScaleNormal="141" workbookViewId="0">
      <selection activeCell="M8" sqref="M8"/>
    </sheetView>
  </sheetViews>
  <sheetFormatPr defaultRowHeight="14.4" x14ac:dyDescent="0.3"/>
  <cols>
    <col min="4" max="6" width="8.88671875" customWidth="1"/>
  </cols>
  <sheetData>
    <row r="1" spans="1:16" x14ac:dyDescent="0.3">
      <c r="A1" s="3"/>
      <c r="B1" s="3"/>
      <c r="C1" s="3"/>
      <c r="D1" s="3"/>
      <c r="E1" s="3"/>
      <c r="F1" s="3"/>
      <c r="G1" s="3"/>
      <c r="H1" s="3"/>
      <c r="I1" s="3"/>
      <c r="J1" s="3"/>
      <c r="K1" s="3"/>
      <c r="L1" s="3"/>
      <c r="M1" s="3"/>
      <c r="N1" s="3"/>
      <c r="O1" s="3"/>
      <c r="P1" s="3"/>
    </row>
    <row r="2" spans="1:16" x14ac:dyDescent="0.3">
      <c r="A2" s="3"/>
      <c r="B2" s="3"/>
      <c r="C2" s="3"/>
      <c r="D2" s="3"/>
      <c r="E2" s="3"/>
      <c r="F2" s="3"/>
      <c r="G2" s="3"/>
      <c r="H2" s="3"/>
      <c r="I2" s="3"/>
      <c r="J2" s="3"/>
      <c r="K2" s="3"/>
      <c r="L2" s="3"/>
      <c r="M2" s="3"/>
      <c r="N2" s="3"/>
      <c r="O2" s="3"/>
      <c r="P2" s="3"/>
    </row>
    <row r="3" spans="1:16" x14ac:dyDescent="0.3">
      <c r="A3" s="3"/>
      <c r="B3" s="3"/>
      <c r="C3" s="3"/>
      <c r="D3" s="3"/>
      <c r="E3" s="3"/>
      <c r="F3" s="3"/>
      <c r="G3" s="3"/>
      <c r="H3" s="3"/>
      <c r="I3" s="3"/>
      <c r="J3" s="3"/>
      <c r="K3" s="3"/>
      <c r="L3" s="3"/>
      <c r="M3" s="3"/>
      <c r="N3" s="3"/>
      <c r="O3" s="3"/>
      <c r="P3" s="3"/>
    </row>
    <row r="4" spans="1:16" x14ac:dyDescent="0.3">
      <c r="A4" s="3"/>
      <c r="B4" s="3"/>
      <c r="C4" s="3"/>
      <c r="D4" s="3"/>
      <c r="E4" s="3"/>
      <c r="F4" s="3"/>
      <c r="G4" s="3"/>
      <c r="H4" s="3"/>
      <c r="I4" s="3"/>
      <c r="J4" s="3"/>
      <c r="K4" s="3"/>
      <c r="L4" s="3"/>
      <c r="M4" s="3"/>
      <c r="N4" s="3"/>
      <c r="O4" s="3"/>
      <c r="P4" s="3"/>
    </row>
    <row r="5" spans="1:16" x14ac:dyDescent="0.3">
      <c r="A5" s="3"/>
      <c r="B5" s="3"/>
      <c r="C5" s="3"/>
      <c r="D5" s="3"/>
      <c r="E5" s="3"/>
      <c r="F5" s="3"/>
      <c r="G5" s="3"/>
      <c r="H5" s="3"/>
      <c r="I5" s="3"/>
      <c r="J5" s="3"/>
      <c r="K5" s="3"/>
      <c r="L5" s="3"/>
      <c r="M5" s="3"/>
      <c r="N5" s="3"/>
      <c r="O5" s="3"/>
      <c r="P5" s="3"/>
    </row>
    <row r="6" spans="1:16" x14ac:dyDescent="0.3">
      <c r="A6" s="3"/>
      <c r="B6" s="3"/>
      <c r="C6" s="3"/>
      <c r="D6" s="3"/>
      <c r="E6" s="3"/>
      <c r="F6" s="3"/>
      <c r="G6" s="3"/>
      <c r="H6" s="3"/>
      <c r="I6" s="3"/>
      <c r="J6" s="3"/>
      <c r="K6" s="3"/>
      <c r="L6" s="3"/>
      <c r="M6" s="3"/>
      <c r="N6" s="3"/>
      <c r="O6" s="3"/>
      <c r="P6" s="3"/>
    </row>
    <row r="7" spans="1:16" x14ac:dyDescent="0.3">
      <c r="A7" s="3"/>
      <c r="B7" s="3"/>
      <c r="C7" s="3"/>
      <c r="D7" s="3"/>
      <c r="E7" s="3"/>
      <c r="F7" s="3"/>
      <c r="G7" s="3"/>
      <c r="H7" s="3"/>
      <c r="I7" s="3"/>
      <c r="J7" s="3"/>
      <c r="K7" s="3"/>
      <c r="L7" s="3"/>
      <c r="M7" s="3"/>
      <c r="N7" s="3"/>
      <c r="O7" s="3"/>
      <c r="P7" s="3"/>
    </row>
    <row r="8" spans="1:16" x14ac:dyDescent="0.3">
      <c r="A8" s="3"/>
      <c r="B8" s="3"/>
      <c r="C8" s="3"/>
      <c r="D8" s="3"/>
      <c r="E8" s="3"/>
      <c r="F8" s="3"/>
      <c r="G8" s="3"/>
      <c r="H8" s="3"/>
      <c r="I8" s="3"/>
      <c r="J8" s="3"/>
      <c r="K8" s="3"/>
      <c r="L8" s="3"/>
      <c r="M8" s="3"/>
      <c r="N8" s="3"/>
      <c r="O8" s="3"/>
      <c r="P8" s="3"/>
    </row>
    <row r="9" spans="1:16" x14ac:dyDescent="0.3">
      <c r="A9" s="3"/>
      <c r="B9" s="3"/>
      <c r="C9" s="3"/>
      <c r="D9" s="3"/>
      <c r="E9" s="3"/>
      <c r="F9" s="3"/>
      <c r="G9" s="3"/>
      <c r="H9" s="3"/>
      <c r="I9" s="3"/>
      <c r="J9" s="3"/>
      <c r="K9" s="3"/>
      <c r="L9" s="3"/>
      <c r="M9" s="3"/>
      <c r="N9" s="3"/>
      <c r="O9" s="3"/>
      <c r="P9" s="3"/>
    </row>
    <row r="10" spans="1:16" x14ac:dyDescent="0.3">
      <c r="A10" s="3"/>
      <c r="B10" s="3"/>
      <c r="C10" s="3"/>
      <c r="D10" s="3"/>
      <c r="E10" s="3"/>
      <c r="F10" s="3"/>
      <c r="G10" s="3"/>
      <c r="H10" s="3"/>
      <c r="I10" s="3"/>
      <c r="J10" s="3"/>
      <c r="K10" s="3"/>
      <c r="L10" s="3"/>
      <c r="M10" s="3"/>
      <c r="N10" s="3"/>
      <c r="O10" s="3"/>
      <c r="P10" s="3"/>
    </row>
    <row r="11" spans="1:16" x14ac:dyDescent="0.3">
      <c r="A11" s="3"/>
      <c r="B11" s="3"/>
      <c r="C11" s="3"/>
      <c r="D11" s="3"/>
      <c r="E11" s="3"/>
      <c r="F11" s="3"/>
      <c r="G11" s="3"/>
      <c r="H11" s="3"/>
      <c r="I11" s="3"/>
      <c r="J11" s="3"/>
      <c r="K11" s="3"/>
      <c r="L11" s="3"/>
      <c r="M11" s="3"/>
      <c r="N11" s="3"/>
      <c r="O11" s="3"/>
      <c r="P11" s="3"/>
    </row>
    <row r="12" spans="1:16" x14ac:dyDescent="0.3">
      <c r="A12" s="3"/>
      <c r="B12" s="3"/>
      <c r="C12" s="3"/>
      <c r="D12" s="3"/>
      <c r="E12" s="3"/>
      <c r="F12" s="3"/>
      <c r="G12" s="3"/>
      <c r="H12" s="3"/>
      <c r="I12" s="3"/>
      <c r="J12" s="3"/>
      <c r="K12" s="3"/>
      <c r="L12" s="3"/>
      <c r="M12" s="3"/>
      <c r="N12" s="3"/>
      <c r="O12" s="3"/>
      <c r="P12" s="3"/>
    </row>
    <row r="13" spans="1:16" x14ac:dyDescent="0.3">
      <c r="A13" s="3"/>
      <c r="B13" s="3"/>
      <c r="C13" s="3"/>
      <c r="D13" s="3"/>
      <c r="E13" s="3"/>
      <c r="F13" s="3"/>
      <c r="G13" s="3"/>
      <c r="H13" s="3"/>
      <c r="I13" s="3"/>
      <c r="J13" s="3"/>
      <c r="K13" s="3"/>
      <c r="L13" s="3"/>
      <c r="M13" s="3"/>
      <c r="N13" s="3"/>
      <c r="O13" s="3"/>
      <c r="P13" s="3"/>
    </row>
    <row r="14" spans="1:16" x14ac:dyDescent="0.3">
      <c r="A14" s="3"/>
      <c r="B14" s="3"/>
      <c r="C14" s="3"/>
      <c r="D14" s="3"/>
      <c r="E14" s="3"/>
      <c r="F14" s="3"/>
      <c r="G14" s="3"/>
      <c r="H14" s="3"/>
      <c r="I14" s="3"/>
      <c r="J14" s="3"/>
      <c r="K14" s="3"/>
      <c r="L14" s="3"/>
      <c r="M14" s="3"/>
      <c r="N14" s="3"/>
      <c r="O14" s="3"/>
      <c r="P14" s="3"/>
    </row>
    <row r="15" spans="1:16" x14ac:dyDescent="0.3">
      <c r="A15" s="3"/>
      <c r="B15" s="3"/>
      <c r="C15" s="3"/>
      <c r="D15" s="3"/>
      <c r="E15" s="3"/>
      <c r="F15" s="3"/>
      <c r="G15" s="3"/>
      <c r="H15" s="3"/>
      <c r="I15" s="3"/>
      <c r="J15" s="3"/>
      <c r="K15" s="3"/>
      <c r="L15" s="3"/>
      <c r="M15" s="3"/>
      <c r="N15" s="3"/>
      <c r="O15" s="3"/>
      <c r="P15" s="3"/>
    </row>
    <row r="16" spans="1:16" x14ac:dyDescent="0.3">
      <c r="A16" s="3"/>
      <c r="B16" s="3"/>
      <c r="C16" s="3"/>
      <c r="D16" s="3"/>
      <c r="E16" s="3"/>
      <c r="F16" s="3"/>
      <c r="G16" s="3"/>
      <c r="H16" s="3"/>
      <c r="I16" s="3"/>
      <c r="J16" s="3"/>
      <c r="K16" s="3"/>
      <c r="L16" s="3"/>
      <c r="M16" s="3"/>
      <c r="N16" s="3"/>
      <c r="O16" s="3"/>
      <c r="P16" s="3"/>
    </row>
    <row r="17" spans="1:16" x14ac:dyDescent="0.3">
      <c r="A17" s="3"/>
      <c r="B17" s="3"/>
      <c r="C17" s="3"/>
      <c r="D17" s="3"/>
      <c r="E17" s="3"/>
      <c r="F17" s="3"/>
      <c r="G17" s="3"/>
      <c r="H17" s="3"/>
      <c r="I17" s="3"/>
      <c r="J17" s="3"/>
      <c r="K17" s="3"/>
      <c r="L17" s="3"/>
      <c r="M17" s="3"/>
      <c r="N17" s="3"/>
      <c r="O17" s="3"/>
      <c r="P17" s="3"/>
    </row>
    <row r="18" spans="1:16" x14ac:dyDescent="0.3">
      <c r="A18" s="3"/>
      <c r="B18" s="3"/>
      <c r="C18" s="3"/>
      <c r="D18" s="3"/>
      <c r="E18" s="3"/>
      <c r="F18" s="3"/>
      <c r="G18" s="3"/>
      <c r="H18" s="3"/>
      <c r="I18" s="3"/>
      <c r="J18" s="3"/>
      <c r="K18" s="3"/>
      <c r="L18" s="3"/>
      <c r="M18" s="3"/>
      <c r="N18" s="3"/>
      <c r="O18" s="3"/>
      <c r="P18" s="3"/>
    </row>
    <row r="19" spans="1:16" x14ac:dyDescent="0.3">
      <c r="A19" s="3"/>
      <c r="B19" s="3"/>
      <c r="C19" s="3"/>
      <c r="D19" s="3"/>
      <c r="E19" s="3"/>
      <c r="F19" s="3"/>
      <c r="G19" s="3"/>
      <c r="H19" s="3"/>
      <c r="I19" s="3"/>
      <c r="J19" s="3"/>
      <c r="K19" s="3"/>
      <c r="L19" s="3"/>
      <c r="M19" s="3"/>
      <c r="N19" s="3"/>
      <c r="O19" s="3"/>
      <c r="P19" s="3"/>
    </row>
    <row r="20" spans="1:16" x14ac:dyDescent="0.3">
      <c r="A20" s="3"/>
      <c r="B20" s="3"/>
      <c r="C20" s="3"/>
      <c r="D20" s="3"/>
      <c r="E20" s="3"/>
      <c r="F20" s="3"/>
      <c r="G20" s="3"/>
      <c r="H20" s="3"/>
      <c r="I20" s="3"/>
      <c r="J20" s="3"/>
      <c r="K20" s="3"/>
      <c r="L20" s="3"/>
      <c r="M20" s="3"/>
      <c r="N20" s="3"/>
      <c r="O20" s="3"/>
      <c r="P20" s="3"/>
    </row>
    <row r="21" spans="1:16" x14ac:dyDescent="0.3">
      <c r="A21" s="3"/>
      <c r="B21" s="3"/>
      <c r="C21" s="3"/>
      <c r="D21" s="3"/>
      <c r="E21" s="3"/>
      <c r="F21" s="3"/>
      <c r="G21" s="3"/>
      <c r="H21" s="3"/>
      <c r="I21" s="3"/>
      <c r="J21" s="3"/>
      <c r="K21" s="3"/>
      <c r="L21" s="3"/>
      <c r="M21" s="3"/>
    </row>
    <row r="22" spans="1:16" x14ac:dyDescent="0.3">
      <c r="A22" s="3"/>
      <c r="B22" s="3"/>
      <c r="C22" s="3"/>
      <c r="D22" s="3"/>
      <c r="E22" s="3"/>
      <c r="F22" s="3"/>
      <c r="G22" s="3"/>
      <c r="H22" s="3"/>
      <c r="I22" s="3"/>
      <c r="J22" s="3"/>
      <c r="K22" s="3"/>
      <c r="L22" s="3"/>
      <c r="M22" s="3"/>
    </row>
    <row r="23" spans="1:16" x14ac:dyDescent="0.3">
      <c r="A23" s="3"/>
      <c r="B23" s="3"/>
      <c r="C23" s="3"/>
      <c r="D23" s="3"/>
      <c r="E23" s="3"/>
      <c r="F23" s="3"/>
      <c r="G23" s="3"/>
      <c r="H23" s="3"/>
      <c r="I23" s="3"/>
      <c r="J23" s="3"/>
      <c r="K23" s="3"/>
      <c r="L23" s="3"/>
      <c r="M23" s="3"/>
    </row>
    <row r="24" spans="1:16" x14ac:dyDescent="0.3">
      <c r="A24" s="3"/>
      <c r="B24" s="3"/>
      <c r="C24" s="3"/>
      <c r="D24" s="3"/>
      <c r="E24" s="3"/>
      <c r="F24" s="3"/>
      <c r="G24" s="3"/>
      <c r="H24" s="3"/>
      <c r="I24" s="3"/>
      <c r="J24" s="3"/>
      <c r="K24" s="3"/>
      <c r="L24" s="3"/>
      <c r="M24" s="3"/>
    </row>
  </sheetData>
  <pageMargins left="0.7" right="0.7" top="0.75" bottom="0.75" header="0.3" footer="0.3"/>
  <pageSetup orientation="portrait" r:id="rId1"/>
  <drawing r:id="rId2"/>
  <legacyDrawing r:id="rId3"/>
  <extLst>
    <ext xmlns:x14="http://schemas.microsoft.com/office/spreadsheetml/2009/9/main" uri="{A8765BA9-456A-4dab-B4F3-ACF838C121DE}">
      <x14:slicerList>
        <x14:slicer r:id="rId4"/>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B06278-C00A-4F81-BBBD-EA9333BD4DEF}">
  <dimension ref="A1:R27"/>
  <sheetViews>
    <sheetView workbookViewId="0"/>
  </sheetViews>
  <sheetFormatPr defaultRowHeight="14.4" x14ac:dyDescent="0.3"/>
  <sheetData>
    <row r="1" spans="1:18" x14ac:dyDescent="0.3">
      <c r="A1" s="6"/>
      <c r="B1" s="6"/>
      <c r="C1" s="6"/>
      <c r="D1" s="6"/>
      <c r="E1" s="6"/>
      <c r="F1" s="6"/>
      <c r="G1" s="6"/>
      <c r="H1" s="6"/>
      <c r="I1" s="6"/>
      <c r="J1" s="6"/>
      <c r="K1" s="6"/>
      <c r="L1" s="6"/>
      <c r="M1" s="6"/>
      <c r="N1" s="6"/>
      <c r="O1" s="6"/>
      <c r="P1" s="6"/>
      <c r="Q1" s="6"/>
      <c r="R1" s="6"/>
    </row>
    <row r="2" spans="1:18" x14ac:dyDescent="0.3">
      <c r="A2" s="6"/>
      <c r="B2" s="6"/>
      <c r="C2" s="6"/>
      <c r="D2" s="6"/>
      <c r="E2" s="6"/>
      <c r="F2" s="6"/>
      <c r="G2" s="6"/>
      <c r="H2" s="6"/>
      <c r="I2" s="6"/>
      <c r="J2" s="6"/>
      <c r="K2" s="6"/>
      <c r="L2" s="6"/>
      <c r="M2" s="6"/>
      <c r="N2" s="6"/>
      <c r="O2" s="6"/>
      <c r="P2" s="6"/>
      <c r="Q2" s="6"/>
      <c r="R2" s="6"/>
    </row>
    <row r="3" spans="1:18" x14ac:dyDescent="0.3">
      <c r="A3" s="6"/>
      <c r="B3" s="6"/>
      <c r="C3" s="6"/>
      <c r="D3" s="6"/>
      <c r="E3" s="6"/>
      <c r="F3" s="6"/>
      <c r="G3" s="6"/>
      <c r="H3" s="6"/>
      <c r="I3" s="6"/>
      <c r="J3" s="6"/>
      <c r="K3" s="6"/>
      <c r="L3" s="6"/>
      <c r="M3" s="6"/>
      <c r="N3" s="6"/>
      <c r="O3" s="6"/>
      <c r="P3" s="6"/>
      <c r="Q3" s="6"/>
      <c r="R3" s="6"/>
    </row>
    <row r="4" spans="1:18" x14ac:dyDescent="0.3">
      <c r="A4" s="6"/>
      <c r="B4" s="6"/>
      <c r="C4" s="6"/>
      <c r="D4" s="6"/>
      <c r="E4" s="6"/>
      <c r="F4" s="6"/>
      <c r="G4" s="6"/>
      <c r="H4" s="6"/>
      <c r="I4" s="6"/>
      <c r="J4" s="6"/>
      <c r="K4" s="6"/>
      <c r="L4" s="6"/>
      <c r="M4" s="6"/>
      <c r="N4" s="6"/>
      <c r="O4" s="6"/>
      <c r="P4" s="6"/>
      <c r="Q4" s="6"/>
      <c r="R4" s="6"/>
    </row>
    <row r="5" spans="1:18" x14ac:dyDescent="0.3">
      <c r="A5" s="6"/>
      <c r="B5" s="6"/>
      <c r="C5" s="6"/>
      <c r="D5" s="6"/>
      <c r="E5" s="6"/>
      <c r="F5" s="6"/>
      <c r="G5" s="6"/>
      <c r="H5" s="6"/>
      <c r="I5" s="6"/>
      <c r="J5" s="6"/>
      <c r="K5" s="6"/>
      <c r="L5" s="6"/>
      <c r="M5" s="6"/>
      <c r="N5" s="6"/>
      <c r="O5" s="6"/>
      <c r="P5" s="6"/>
      <c r="Q5" s="6"/>
      <c r="R5" s="6"/>
    </row>
    <row r="6" spans="1:18" x14ac:dyDescent="0.3">
      <c r="A6" s="6"/>
      <c r="B6" s="6"/>
      <c r="C6" s="6"/>
      <c r="D6" s="6"/>
      <c r="E6" s="6"/>
      <c r="F6" s="6"/>
      <c r="G6" s="6"/>
      <c r="H6" s="6"/>
      <c r="I6" s="6"/>
      <c r="J6" s="6"/>
      <c r="K6" s="6"/>
      <c r="L6" s="6"/>
      <c r="M6" s="6"/>
      <c r="N6" s="6"/>
      <c r="O6" s="6"/>
      <c r="P6" s="6"/>
      <c r="Q6" s="6"/>
      <c r="R6" s="6"/>
    </row>
    <row r="7" spans="1:18" x14ac:dyDescent="0.3">
      <c r="A7" s="6"/>
      <c r="B7" s="6"/>
      <c r="C7" s="6"/>
      <c r="D7" s="6"/>
      <c r="E7" s="6"/>
      <c r="F7" s="6"/>
      <c r="G7" s="6"/>
      <c r="H7" s="6"/>
      <c r="I7" s="6"/>
      <c r="J7" s="6"/>
      <c r="K7" s="6"/>
      <c r="L7" s="6"/>
      <c r="M7" s="6"/>
      <c r="N7" s="6"/>
      <c r="O7" s="6"/>
      <c r="P7" s="6"/>
      <c r="Q7" s="6"/>
      <c r="R7" s="6"/>
    </row>
    <row r="8" spans="1:18" x14ac:dyDescent="0.3">
      <c r="A8" s="6"/>
      <c r="B8" s="6"/>
      <c r="C8" s="6"/>
      <c r="D8" s="6"/>
      <c r="E8" s="6"/>
      <c r="F8" s="6"/>
      <c r="G8" s="6"/>
      <c r="H8" s="6"/>
      <c r="I8" s="6"/>
      <c r="J8" s="6"/>
      <c r="K8" s="6"/>
      <c r="L8" s="6"/>
      <c r="M8" s="6"/>
      <c r="N8" s="6"/>
      <c r="O8" s="6"/>
      <c r="P8" s="6"/>
      <c r="Q8" s="6"/>
      <c r="R8" s="6"/>
    </row>
    <row r="9" spans="1:18" x14ac:dyDescent="0.3">
      <c r="A9" s="6"/>
      <c r="B9" s="6"/>
      <c r="C9" s="6"/>
      <c r="D9" s="6"/>
      <c r="E9" s="6"/>
      <c r="F9" s="6"/>
      <c r="G9" s="6"/>
      <c r="H9" s="6"/>
      <c r="I9" s="6"/>
      <c r="J9" s="6"/>
      <c r="K9" s="6"/>
      <c r="L9" s="6"/>
      <c r="M9" s="6"/>
      <c r="N9" s="6"/>
      <c r="O9" s="6"/>
      <c r="P9" s="6"/>
      <c r="Q9" s="6"/>
      <c r="R9" s="6"/>
    </row>
    <row r="10" spans="1:18" x14ac:dyDescent="0.3">
      <c r="A10" s="6"/>
      <c r="B10" s="6"/>
      <c r="C10" s="6"/>
      <c r="D10" s="6"/>
      <c r="E10" s="6"/>
      <c r="F10" s="6"/>
      <c r="G10" s="6"/>
      <c r="H10" s="6"/>
      <c r="I10" s="6"/>
      <c r="J10" s="6"/>
      <c r="K10" s="6"/>
      <c r="L10" s="6"/>
      <c r="M10" s="6"/>
      <c r="N10" s="6"/>
      <c r="O10" s="6"/>
      <c r="P10" s="6"/>
      <c r="Q10" s="6"/>
      <c r="R10" s="6"/>
    </row>
    <row r="11" spans="1:18" x14ac:dyDescent="0.3">
      <c r="A11" s="6"/>
      <c r="B11" s="6"/>
      <c r="C11" s="6"/>
      <c r="D11" s="6"/>
      <c r="E11" s="6"/>
      <c r="F11" s="6"/>
      <c r="G11" s="6"/>
      <c r="H11" s="6"/>
      <c r="I11" s="6"/>
      <c r="J11" s="6"/>
      <c r="K11" s="6"/>
      <c r="L11" s="6"/>
      <c r="M11" s="6"/>
      <c r="N11" s="6"/>
      <c r="O11" s="6"/>
      <c r="P11" s="6"/>
      <c r="Q11" s="6"/>
      <c r="R11" s="6"/>
    </row>
    <row r="12" spans="1:18" x14ac:dyDescent="0.3">
      <c r="A12" s="6"/>
      <c r="B12" s="6"/>
      <c r="C12" s="6"/>
      <c r="D12" s="6"/>
      <c r="E12" s="6"/>
      <c r="F12" s="6"/>
      <c r="G12" s="6"/>
      <c r="H12" s="6"/>
      <c r="I12" s="6"/>
      <c r="J12" s="6"/>
      <c r="K12" s="6"/>
      <c r="L12" s="6"/>
      <c r="M12" s="6"/>
      <c r="N12" s="6"/>
      <c r="O12" s="6"/>
      <c r="P12" s="6"/>
      <c r="Q12" s="6"/>
      <c r="R12" s="6"/>
    </row>
    <row r="13" spans="1:18" x14ac:dyDescent="0.3">
      <c r="A13" s="6"/>
      <c r="B13" s="6"/>
      <c r="C13" s="6"/>
      <c r="D13" s="6"/>
      <c r="E13" s="6"/>
      <c r="F13" s="6"/>
      <c r="G13" s="6"/>
      <c r="H13" s="6"/>
      <c r="I13" s="6"/>
      <c r="J13" s="6"/>
      <c r="K13" s="6"/>
      <c r="L13" s="6"/>
      <c r="M13" s="6"/>
      <c r="N13" s="6"/>
      <c r="O13" s="6"/>
      <c r="P13" s="6"/>
      <c r="Q13" s="6"/>
      <c r="R13" s="6"/>
    </row>
    <row r="14" spans="1:18" x14ac:dyDescent="0.3">
      <c r="A14" s="6"/>
      <c r="B14" s="6"/>
      <c r="C14" s="6"/>
      <c r="D14" s="6"/>
      <c r="E14" s="6"/>
      <c r="F14" s="6"/>
      <c r="G14" s="6"/>
      <c r="H14" s="6"/>
      <c r="I14" s="6"/>
      <c r="J14" s="6"/>
      <c r="K14" s="6"/>
      <c r="L14" s="6"/>
      <c r="M14" s="6"/>
      <c r="N14" s="6"/>
      <c r="O14" s="6"/>
      <c r="P14" s="6"/>
      <c r="Q14" s="6"/>
      <c r="R14" s="6"/>
    </row>
    <row r="15" spans="1:18" x14ac:dyDescent="0.3">
      <c r="A15" s="6"/>
      <c r="B15" s="6"/>
      <c r="C15" s="6"/>
      <c r="D15" s="6"/>
      <c r="E15" s="6"/>
      <c r="F15" s="6"/>
      <c r="G15" s="6"/>
      <c r="H15" s="6"/>
      <c r="I15" s="6"/>
      <c r="J15" s="6"/>
      <c r="K15" s="6"/>
      <c r="L15" s="6"/>
      <c r="M15" s="6"/>
      <c r="N15" s="6"/>
      <c r="O15" s="6"/>
      <c r="P15" s="6"/>
      <c r="Q15" s="6"/>
      <c r="R15" s="6"/>
    </row>
    <row r="16" spans="1:18" x14ac:dyDescent="0.3">
      <c r="A16" s="6"/>
      <c r="B16" s="6"/>
      <c r="C16" s="6"/>
      <c r="D16" s="6"/>
      <c r="E16" s="6"/>
      <c r="F16" s="6"/>
      <c r="G16" s="6"/>
      <c r="H16" s="6"/>
      <c r="I16" s="6"/>
      <c r="J16" s="6"/>
      <c r="K16" s="6"/>
      <c r="L16" s="6"/>
      <c r="M16" s="6"/>
      <c r="N16" s="6"/>
      <c r="O16" s="6"/>
      <c r="P16" s="6"/>
      <c r="Q16" s="6"/>
      <c r="R16" s="6"/>
    </row>
    <row r="17" spans="1:18" x14ac:dyDescent="0.3">
      <c r="A17" s="6"/>
      <c r="B17" s="6"/>
      <c r="C17" s="6"/>
      <c r="D17" s="6"/>
      <c r="E17" s="6"/>
      <c r="F17" s="6"/>
      <c r="G17" s="6"/>
      <c r="H17" s="6"/>
      <c r="I17" s="6"/>
      <c r="J17" s="6"/>
      <c r="K17" s="6"/>
      <c r="L17" s="6"/>
      <c r="M17" s="6"/>
      <c r="N17" s="6"/>
      <c r="O17" s="6"/>
      <c r="P17" s="6"/>
      <c r="Q17" s="6"/>
      <c r="R17" s="6"/>
    </row>
    <row r="18" spans="1:18" x14ac:dyDescent="0.3">
      <c r="A18" s="6"/>
      <c r="B18" s="6"/>
      <c r="C18" s="6"/>
      <c r="D18" s="6"/>
      <c r="E18" s="6"/>
      <c r="F18" s="6"/>
      <c r="G18" s="6"/>
      <c r="H18" s="6"/>
      <c r="I18" s="6"/>
      <c r="J18" s="6"/>
      <c r="K18" s="6"/>
      <c r="L18" s="6"/>
      <c r="M18" s="6"/>
      <c r="N18" s="6"/>
      <c r="O18" s="6"/>
      <c r="P18" s="6"/>
      <c r="Q18" s="6"/>
      <c r="R18" s="6"/>
    </row>
    <row r="19" spans="1:18" x14ac:dyDescent="0.3">
      <c r="A19" s="6"/>
      <c r="B19" s="6"/>
      <c r="C19" s="6"/>
      <c r="D19" s="6"/>
      <c r="E19" s="6"/>
      <c r="F19" s="6"/>
      <c r="G19" s="6"/>
      <c r="H19" s="6"/>
      <c r="I19" s="6"/>
      <c r="J19" s="6"/>
      <c r="K19" s="6"/>
      <c r="L19" s="6"/>
      <c r="M19" s="6"/>
      <c r="N19" s="6"/>
      <c r="O19" s="6"/>
      <c r="P19" s="6"/>
      <c r="Q19" s="6"/>
      <c r="R19" s="6"/>
    </row>
    <row r="20" spans="1:18" x14ac:dyDescent="0.3">
      <c r="A20" s="6"/>
      <c r="B20" s="6"/>
      <c r="C20" s="6"/>
      <c r="D20" s="6"/>
      <c r="E20" s="6"/>
      <c r="F20" s="6"/>
      <c r="G20" s="6"/>
      <c r="H20" s="6"/>
      <c r="I20" s="6"/>
      <c r="J20" s="6"/>
      <c r="K20" s="6"/>
      <c r="L20" s="6"/>
      <c r="M20" s="6"/>
      <c r="N20" s="6"/>
      <c r="O20" s="6"/>
      <c r="P20" s="6"/>
      <c r="Q20" s="6"/>
      <c r="R20" s="6"/>
    </row>
    <row r="21" spans="1:18" x14ac:dyDescent="0.3">
      <c r="A21" s="6"/>
      <c r="B21" s="6"/>
      <c r="C21" s="6"/>
      <c r="D21" s="6"/>
      <c r="E21" s="6"/>
      <c r="F21" s="6"/>
      <c r="G21" s="6"/>
      <c r="H21" s="6"/>
      <c r="I21" s="6"/>
      <c r="J21" s="6"/>
      <c r="K21" s="6"/>
      <c r="L21" s="6"/>
      <c r="M21" s="6"/>
      <c r="N21" s="6"/>
      <c r="O21" s="6"/>
      <c r="P21" s="6"/>
      <c r="Q21" s="6"/>
      <c r="R21" s="6"/>
    </row>
    <row r="22" spans="1:18" x14ac:dyDescent="0.3">
      <c r="A22" s="6"/>
      <c r="B22" s="6"/>
      <c r="C22" s="6"/>
      <c r="D22" s="6"/>
      <c r="E22" s="6"/>
      <c r="F22" s="6"/>
      <c r="G22" s="6"/>
      <c r="H22" s="6"/>
      <c r="I22" s="6"/>
      <c r="J22" s="6"/>
      <c r="K22" s="6"/>
      <c r="L22" s="6"/>
      <c r="M22" s="6"/>
      <c r="N22" s="6"/>
      <c r="O22" s="6"/>
      <c r="P22" s="6"/>
      <c r="Q22" s="6"/>
      <c r="R22" s="6"/>
    </row>
    <row r="23" spans="1:18" x14ac:dyDescent="0.3">
      <c r="A23" s="6"/>
      <c r="B23" s="6"/>
      <c r="C23" s="6"/>
      <c r="D23" s="6"/>
      <c r="E23" s="6"/>
      <c r="F23" s="6"/>
      <c r="G23" s="6"/>
      <c r="H23" s="6"/>
      <c r="I23" s="6"/>
      <c r="J23" s="6"/>
      <c r="K23" s="6"/>
      <c r="L23" s="6"/>
      <c r="M23" s="6"/>
      <c r="N23" s="6"/>
      <c r="O23" s="6"/>
      <c r="P23" s="6"/>
      <c r="Q23" s="6"/>
      <c r="R23" s="6"/>
    </row>
    <row r="24" spans="1:18" x14ac:dyDescent="0.3">
      <c r="A24" s="6"/>
      <c r="B24" s="6"/>
      <c r="C24" s="6"/>
      <c r="D24" s="6"/>
      <c r="E24" s="6"/>
      <c r="F24" s="6"/>
      <c r="G24" s="6"/>
      <c r="H24" s="6"/>
      <c r="I24" s="6"/>
      <c r="J24" s="6"/>
      <c r="K24" s="6"/>
      <c r="L24" s="6"/>
      <c r="M24" s="6"/>
      <c r="N24" s="6"/>
      <c r="O24" s="6"/>
      <c r="P24" s="6"/>
      <c r="Q24" s="6"/>
      <c r="R24" s="6"/>
    </row>
    <row r="25" spans="1:18" x14ac:dyDescent="0.3">
      <c r="A25" s="6"/>
      <c r="B25" s="6"/>
      <c r="C25" s="6"/>
      <c r="D25" s="6"/>
      <c r="E25" s="6"/>
      <c r="F25" s="6"/>
      <c r="G25" s="6"/>
      <c r="H25" s="6"/>
      <c r="I25" s="6"/>
      <c r="J25" s="6"/>
      <c r="K25" s="6"/>
      <c r="L25" s="6"/>
      <c r="M25" s="6"/>
      <c r="N25" s="6"/>
      <c r="O25" s="6"/>
      <c r="P25" s="6"/>
      <c r="Q25" s="6"/>
      <c r="R25" s="6"/>
    </row>
    <row r="26" spans="1:18" x14ac:dyDescent="0.3">
      <c r="A26" s="6"/>
      <c r="B26" s="6"/>
      <c r="C26" s="6"/>
      <c r="D26" s="6"/>
      <c r="E26" s="6"/>
      <c r="F26" s="6"/>
      <c r="G26" s="6"/>
      <c r="H26" s="6"/>
      <c r="I26" s="6"/>
      <c r="J26" s="6"/>
      <c r="K26" s="6"/>
      <c r="L26" s="6"/>
      <c r="M26" s="6"/>
      <c r="N26" s="6"/>
      <c r="O26" s="6"/>
      <c r="P26" s="6"/>
      <c r="Q26" s="6"/>
      <c r="R26" s="6"/>
    </row>
    <row r="27" spans="1:18" x14ac:dyDescent="0.3">
      <c r="A27" s="6"/>
      <c r="B27" s="6"/>
      <c r="C27" s="6"/>
      <c r="D27" s="6"/>
      <c r="E27" s="6"/>
      <c r="F27" s="6"/>
      <c r="G27" s="6"/>
      <c r="H27" s="6"/>
      <c r="I27" s="6"/>
      <c r="J27" s="6"/>
      <c r="K27" s="6"/>
      <c r="L27" s="6"/>
      <c r="M27" s="6"/>
      <c r="N27" s="6"/>
      <c r="O27" s="6"/>
      <c r="P27" s="6"/>
      <c r="Q27" s="6"/>
      <c r="R27" s="6"/>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E826397D-1C4F-4CA9-9489-98187ED8A06D}">
  <ds:schemaRefs/>
</ds:datastoreItem>
</file>

<file path=customXml/itemProps2.xml><?xml version="1.0" encoding="utf-8"?>
<ds:datastoreItem xmlns:ds="http://schemas.openxmlformats.org/officeDocument/2006/customXml" ds:itemID="{0A114F8F-2D8B-4F53-BDDF-B16A7ADE494E}">
  <ds:schemaRefs/>
</ds:datastoreItem>
</file>

<file path=customXml/itemProps3.xml><?xml version="1.0" encoding="utf-8"?>
<ds:datastoreItem xmlns:ds="http://schemas.openxmlformats.org/officeDocument/2006/customXml" ds:itemID="{5DFB62D4-8A2A-4ED8-B8F7-58E39FE2CD69}">
  <ds:schemaRefs/>
</ds:datastoreItem>
</file>

<file path=customXml/itemProps4.xml><?xml version="1.0" encoding="utf-8"?>
<ds:datastoreItem xmlns:ds="http://schemas.openxmlformats.org/officeDocument/2006/customXml" ds:itemID="{84471548-1BEC-4E41-8F92-BFE31D24B653}">
  <ds:schemaRefs/>
</ds:datastoreItem>
</file>

<file path=customXml/itemProps5.xml><?xml version="1.0" encoding="utf-8"?>
<ds:datastoreItem xmlns:ds="http://schemas.openxmlformats.org/officeDocument/2006/customXml" ds:itemID="{83F3FC9A-F24B-4C1F-97A3-755C95FDD1EF}">
  <ds:schemaRefs/>
</ds:datastoreItem>
</file>

<file path=customXml/itemProps6.xml><?xml version="1.0" encoding="utf-8"?>
<ds:datastoreItem xmlns:ds="http://schemas.openxmlformats.org/officeDocument/2006/customXml" ds:itemID="{7B40BF2D-273C-4E4D-9989-6A4BBE0F78D0}">
  <ds:schemaRefs/>
</ds:datastoreItem>
</file>

<file path=customXml/itemProps7.xml><?xml version="1.0" encoding="utf-8"?>
<ds:datastoreItem xmlns:ds="http://schemas.openxmlformats.org/officeDocument/2006/customXml" ds:itemID="{7A20F818-44BB-4386-9362-C42AD8B87696}">
  <ds:schemaRefs/>
</ds:datastoreItem>
</file>

<file path=customXml/itemProps8.xml><?xml version="1.0" encoding="utf-8"?>
<ds:datastoreItem xmlns:ds="http://schemas.openxmlformats.org/officeDocument/2006/customXml" ds:itemID="{FC7F5CF7-1361-4DC0-B62E-5E3837535B96}">
  <ds:schemaRefs>
    <ds:schemaRef ds:uri="http://schemas.microsoft.com/DataMashup"/>
  </ds:schemaRefs>
</ds:datastoreItem>
</file>

<file path=customXml/itemProps9.xml><?xml version="1.0" encoding="utf-8"?>
<ds:datastoreItem xmlns:ds="http://schemas.openxmlformats.org/officeDocument/2006/customXml" ds:itemID="{15E793D0-4205-4CEE-9C78-0AF3044902AA}">
  <ds:schemaRefs/>
</ds:datastoreItem>
</file>

<file path=customXml/itemProps10.xml><?xml version="1.0" encoding="utf-8"?>
<ds:datastoreItem xmlns:ds="http://schemas.openxmlformats.org/officeDocument/2006/customXml" ds:itemID="{96332B70-4753-47E5-8FE9-8AA16C65BB7A}">
  <ds:schemaRefs/>
</ds:datastoreItem>
</file>

<file path=customXml/itemProps11.xml><?xml version="1.0" encoding="utf-8"?>
<ds:datastoreItem xmlns:ds="http://schemas.openxmlformats.org/officeDocument/2006/customXml" ds:itemID="{C1F07775-C8CC-416A-8890-92E34AE0F423}">
  <ds:schemaRefs/>
</ds:datastoreItem>
</file>

<file path=customXml/itemProps12.xml><?xml version="1.0" encoding="utf-8"?>
<ds:datastoreItem xmlns:ds="http://schemas.openxmlformats.org/officeDocument/2006/customXml" ds:itemID="{645FC2E0-B210-4919-A0FA-6E9388AE562C}">
  <ds:schemaRefs/>
</ds:datastoreItem>
</file>

<file path=customXml/itemProps13.xml><?xml version="1.0" encoding="utf-8"?>
<ds:datastoreItem xmlns:ds="http://schemas.openxmlformats.org/officeDocument/2006/customXml" ds:itemID="{9CBCB397-377B-4DB4-84CF-140B6437A4AA}">
  <ds:schemaRefs/>
</ds:datastoreItem>
</file>

<file path=customXml/itemProps14.xml><?xml version="1.0" encoding="utf-8"?>
<ds:datastoreItem xmlns:ds="http://schemas.openxmlformats.org/officeDocument/2006/customXml" ds:itemID="{8EB2C57E-6442-4C02-9EC0-F265E5D565DA}">
  <ds:schemaRefs/>
</ds:datastoreItem>
</file>

<file path=customXml/itemProps15.xml><?xml version="1.0" encoding="utf-8"?>
<ds:datastoreItem xmlns:ds="http://schemas.openxmlformats.org/officeDocument/2006/customXml" ds:itemID="{C194F399-0CE8-4422-B0DF-EDE03644E3CD}">
  <ds:schemaRefs/>
</ds:datastoreItem>
</file>

<file path=customXml/itemProps16.xml><?xml version="1.0" encoding="utf-8"?>
<ds:datastoreItem xmlns:ds="http://schemas.openxmlformats.org/officeDocument/2006/customXml" ds:itemID="{F848CF73-460E-4840-812E-290EABBF77FE}">
  <ds:schemaRefs/>
</ds:datastoreItem>
</file>

<file path=customXml/itemProps17.xml><?xml version="1.0" encoding="utf-8"?>
<ds:datastoreItem xmlns:ds="http://schemas.openxmlformats.org/officeDocument/2006/customXml" ds:itemID="{D264E3BC-171C-4440-90B2-88D6BA3D2863}">
  <ds:schemaRefs/>
</ds:datastoreItem>
</file>

<file path=customXml/itemProps18.xml><?xml version="1.0" encoding="utf-8"?>
<ds:datastoreItem xmlns:ds="http://schemas.openxmlformats.org/officeDocument/2006/customXml" ds:itemID="{1546FF81-9E72-4F80-8B1A-4C8AAC4A12C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Report</vt:lpstr>
      <vt:lpstr>Average of patient waitTime</vt:lpstr>
      <vt:lpstr>Daily ER no. of patients</vt:lpstr>
      <vt:lpstr>Dashboard</vt:lpstr>
      <vt:lpstr>Satisfaction Score Daily Trend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Ruchita Belosay</dc:creator>
  <cp:lastModifiedBy>Ruchita Belosay</cp:lastModifiedBy>
  <dcterms:created xsi:type="dcterms:W3CDTF">2025-11-23T06:46:20Z</dcterms:created>
  <dcterms:modified xsi:type="dcterms:W3CDTF">2025-12-03T03:26:28Z</dcterms:modified>
</cp:coreProperties>
</file>